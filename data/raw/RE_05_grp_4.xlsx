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bookViews>
    <workbookView xWindow="0" yWindow="0" windowWidth="19200" windowHeight="705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3" i="1" l="1"/>
  <c r="J44" i="1"/>
  <c r="J45" i="1"/>
  <c r="J46" i="1"/>
  <c r="J47" i="1"/>
  <c r="J48" i="1"/>
  <c r="J49" i="1"/>
  <c r="J50" i="1"/>
  <c r="J51" i="1"/>
  <c r="J52" i="1"/>
  <c r="J17" i="1"/>
  <c r="J18" i="1"/>
  <c r="J19" i="1"/>
  <c r="J20" i="1"/>
  <c r="J21" i="1"/>
  <c r="J22" i="1"/>
  <c r="J23" i="1"/>
  <c r="J24" i="1"/>
  <c r="J25" i="1"/>
  <c r="J26" i="1"/>
  <c r="J27" i="1"/>
</calcChain>
</file>

<file path=xl/sharedStrings.xml><?xml version="1.0" encoding="utf-8"?>
<sst xmlns="http://schemas.openxmlformats.org/spreadsheetml/2006/main" count="46" uniqueCount="33">
  <si>
    <t>Currrent(I)</t>
  </si>
  <si>
    <t>Time(t)</t>
  </si>
  <si>
    <t>voltage(V)</t>
  </si>
  <si>
    <t>Resistance®</t>
  </si>
  <si>
    <t>Volume of H2</t>
  </si>
  <si>
    <t>Currrent(I) mA</t>
  </si>
  <si>
    <t>Time(t) s</t>
  </si>
  <si>
    <t>Resistance(R) ohm</t>
  </si>
  <si>
    <t>Volume of H2 mL</t>
  </si>
  <si>
    <t>voltage(V) V</t>
  </si>
  <si>
    <t>Experiment 1 I T curve</t>
  </si>
  <si>
    <t>Experiment 2  I T curve</t>
  </si>
  <si>
    <t>Experiment 3 I V curve</t>
  </si>
  <si>
    <t>Experiment  I V curve</t>
  </si>
  <si>
    <t>new setup</t>
  </si>
  <si>
    <t>Spalte1</t>
  </si>
  <si>
    <t>oower</t>
  </si>
  <si>
    <t>cell weight=89,9205 g</t>
  </si>
  <si>
    <t>current I (A)</t>
  </si>
  <si>
    <t>Time s</t>
  </si>
  <si>
    <t>Power</t>
  </si>
  <si>
    <t xml:space="preserve"> start</t>
  </si>
  <si>
    <t>end at 5 mins</t>
  </si>
  <si>
    <t>cell weight=89,8438 g</t>
  </si>
  <si>
    <t>experiment</t>
  </si>
  <si>
    <t>time (s)</t>
  </si>
  <si>
    <t>current</t>
  </si>
  <si>
    <t>voltage V)</t>
  </si>
  <si>
    <t>resistannce</t>
  </si>
  <si>
    <t>2 ohms</t>
  </si>
  <si>
    <t>Spalte2</t>
  </si>
  <si>
    <t>weight before= 51,4859 g</t>
  </si>
  <si>
    <t>weight after= 50,58180g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</si>
</sst>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F16:J27" totalsRowShown="0">
  <autoFilter ref="F16:J27"/>
  <tableColumns count="5">
    <tableColumn id="1" name="Currrent(I) mA" dataDxfId="3"/>
    <tableColumn id="2" name="voltage(V) V" dataDxfId="2"/>
    <tableColumn id="3" name="Resistance(R) ohm"/>
    <tableColumn id="4" name="Volume of H2 mL"/>
    <tableColumn id="5" name="oower" dataDxfId="1">
      <calculatedColumnFormula>Tabelle1[[#This Row],[Currrent(I) mA]]*Tabelle1[[#This Row],[voltage(V) V]]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le2" displayName="Tabelle2" ref="F42:K52" totalsRowShown="0">
  <autoFilter ref="F42:K52"/>
  <tableColumns count="6">
    <tableColumn id="1" name="time (s)"/>
    <tableColumn id="2" name="voltage V)"/>
    <tableColumn id="3" name="current"/>
    <tableColumn id="4" name="resistannce"/>
    <tableColumn id="5" name="Spalte1" dataDxfId="0">
      <calculatedColumnFormula>Tabelle2[[#This Row],[voltage V)]]*Tabelle2[[#This Row],[current]]</calculatedColumnFormula>
    </tableColumn>
    <tableColumn id="6" name="Spalte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abSelected="1" topLeftCell="A52" zoomScale="115" zoomScaleNormal="115" workbookViewId="0">
      <selection activeCell="H60" sqref="H60"/>
    </sheetView>
  </sheetViews>
  <sheetFormatPr baseColWidth="10" defaultRowHeight="14.5" x14ac:dyDescent="0.35"/>
  <cols>
    <col min="1" max="1" width="14.90625" customWidth="1"/>
    <col min="3" max="3" width="16.08984375" customWidth="1"/>
    <col min="5" max="5" width="11.453125" customWidth="1"/>
    <col min="6" max="6" width="14.453125" customWidth="1"/>
    <col min="7" max="7" width="12.6328125" customWidth="1"/>
    <col min="8" max="8" width="21.08984375" customWidth="1"/>
    <col min="9" max="9" width="16.6328125" customWidth="1"/>
  </cols>
  <sheetData>
    <row r="1" spans="1:11" x14ac:dyDescent="0.35">
      <c r="A1" t="s">
        <v>10</v>
      </c>
      <c r="G1" t="s">
        <v>11</v>
      </c>
    </row>
    <row r="2" spans="1:11" x14ac:dyDescent="0.35">
      <c r="A2" t="s">
        <v>5</v>
      </c>
      <c r="B2" t="s">
        <v>6</v>
      </c>
      <c r="C2" t="s">
        <v>7</v>
      </c>
      <c r="D2" t="s">
        <v>9</v>
      </c>
      <c r="E2" t="s">
        <v>8</v>
      </c>
      <c r="G2" t="s">
        <v>0</v>
      </c>
      <c r="H2" t="s">
        <v>1</v>
      </c>
      <c r="I2" t="s">
        <v>3</v>
      </c>
      <c r="J2" t="s">
        <v>2</v>
      </c>
      <c r="K2" t="s">
        <v>4</v>
      </c>
    </row>
    <row r="3" spans="1:11" x14ac:dyDescent="0.35">
      <c r="A3">
        <v>198.5</v>
      </c>
      <c r="B3">
        <v>0</v>
      </c>
      <c r="C3">
        <v>5</v>
      </c>
      <c r="D3">
        <v>4.5</v>
      </c>
      <c r="E3">
        <v>0</v>
      </c>
      <c r="G3">
        <v>283.39999999999998</v>
      </c>
      <c r="H3">
        <v>0</v>
      </c>
      <c r="I3">
        <v>3</v>
      </c>
      <c r="J3">
        <v>4.5</v>
      </c>
      <c r="K3">
        <v>0</v>
      </c>
    </row>
    <row r="4" spans="1:11" x14ac:dyDescent="0.35">
      <c r="A4">
        <v>198.2</v>
      </c>
      <c r="B4">
        <v>30</v>
      </c>
      <c r="C4">
        <v>5</v>
      </c>
      <c r="D4">
        <v>3.35</v>
      </c>
      <c r="G4">
        <v>283.3</v>
      </c>
      <c r="H4">
        <v>30</v>
      </c>
      <c r="I4">
        <v>3</v>
      </c>
      <c r="J4">
        <v>3.44</v>
      </c>
    </row>
    <row r="5" spans="1:11" x14ac:dyDescent="0.35">
      <c r="A5">
        <v>197.9</v>
      </c>
      <c r="B5">
        <v>60</v>
      </c>
      <c r="C5">
        <v>5</v>
      </c>
      <c r="G5">
        <v>282.8</v>
      </c>
      <c r="H5">
        <v>60</v>
      </c>
      <c r="I5">
        <v>3</v>
      </c>
    </row>
    <row r="6" spans="1:11" x14ac:dyDescent="0.35">
      <c r="A6">
        <v>197.9</v>
      </c>
      <c r="B6">
        <v>90</v>
      </c>
      <c r="C6">
        <v>5</v>
      </c>
      <c r="G6">
        <v>282.8</v>
      </c>
      <c r="H6">
        <v>90</v>
      </c>
      <c r="I6">
        <v>3</v>
      </c>
    </row>
    <row r="7" spans="1:11" x14ac:dyDescent="0.35">
      <c r="A7">
        <v>197.5</v>
      </c>
      <c r="B7">
        <v>120</v>
      </c>
      <c r="C7">
        <v>5</v>
      </c>
      <c r="G7">
        <v>282.2</v>
      </c>
      <c r="H7">
        <v>120</v>
      </c>
      <c r="I7">
        <v>3</v>
      </c>
    </row>
    <row r="8" spans="1:11" x14ac:dyDescent="0.35">
      <c r="A8">
        <v>197.7</v>
      </c>
      <c r="B8">
        <v>150</v>
      </c>
      <c r="C8">
        <v>5</v>
      </c>
      <c r="G8">
        <v>282.2</v>
      </c>
      <c r="H8">
        <v>150</v>
      </c>
      <c r="I8">
        <v>3</v>
      </c>
    </row>
    <row r="9" spans="1:11" x14ac:dyDescent="0.35">
      <c r="A9">
        <v>197.4</v>
      </c>
      <c r="B9">
        <v>180</v>
      </c>
      <c r="C9">
        <v>5</v>
      </c>
      <c r="G9">
        <v>282.10000000000002</v>
      </c>
      <c r="H9">
        <v>180</v>
      </c>
      <c r="I9">
        <v>3</v>
      </c>
      <c r="K9">
        <v>15</v>
      </c>
    </row>
    <row r="10" spans="1:11" x14ac:dyDescent="0.35">
      <c r="A10">
        <v>197</v>
      </c>
      <c r="B10">
        <v>210</v>
      </c>
      <c r="C10">
        <v>5</v>
      </c>
      <c r="H10">
        <v>210</v>
      </c>
      <c r="I10">
        <v>3</v>
      </c>
    </row>
    <row r="11" spans="1:11" x14ac:dyDescent="0.35">
      <c r="A11">
        <v>197</v>
      </c>
      <c r="B11">
        <v>240</v>
      </c>
      <c r="C11">
        <v>5</v>
      </c>
      <c r="H11">
        <v>240</v>
      </c>
      <c r="I11">
        <v>3</v>
      </c>
    </row>
    <row r="12" spans="1:11" x14ac:dyDescent="0.35">
      <c r="A12">
        <v>196.9</v>
      </c>
      <c r="B12">
        <v>270</v>
      </c>
      <c r="C12">
        <v>5</v>
      </c>
      <c r="E12">
        <v>15</v>
      </c>
      <c r="H12">
        <v>270</v>
      </c>
      <c r="I12">
        <v>3</v>
      </c>
      <c r="K12">
        <v>15</v>
      </c>
    </row>
    <row r="14" spans="1:11" ht="13.5" customHeight="1" x14ac:dyDescent="0.35"/>
    <row r="15" spans="1:11" x14ac:dyDescent="0.35">
      <c r="A15" t="s">
        <v>12</v>
      </c>
      <c r="F15" t="s">
        <v>13</v>
      </c>
    </row>
    <row r="16" spans="1:11" x14ac:dyDescent="0.35">
      <c r="A16" t="s">
        <v>5</v>
      </c>
      <c r="B16" t="s">
        <v>9</v>
      </c>
      <c r="C16" t="s">
        <v>7</v>
      </c>
      <c r="D16" t="s">
        <v>8</v>
      </c>
      <c r="F16" t="s">
        <v>5</v>
      </c>
      <c r="G16" t="s">
        <v>9</v>
      </c>
      <c r="H16" t="s">
        <v>7</v>
      </c>
      <c r="I16" t="s">
        <v>8</v>
      </c>
      <c r="J16" t="s">
        <v>16</v>
      </c>
    </row>
    <row r="17" spans="1:10" x14ac:dyDescent="0.35">
      <c r="A17">
        <v>15.9</v>
      </c>
      <c r="B17" s="1">
        <v>3.5</v>
      </c>
      <c r="C17">
        <v>100</v>
      </c>
      <c r="F17">
        <v>17.399999999999999</v>
      </c>
      <c r="G17" s="1">
        <v>829</v>
      </c>
      <c r="H17">
        <v>50</v>
      </c>
      <c r="J17">
        <f>Tabelle1[[#This Row],[Currrent(I) mA]]*Tabelle1[[#This Row],[voltage(V) V]]</f>
        <v>14424.599999999999</v>
      </c>
    </row>
    <row r="18" spans="1:10" x14ac:dyDescent="0.35">
      <c r="A18">
        <v>17.399999999999999</v>
      </c>
      <c r="B18" s="1">
        <v>3.06</v>
      </c>
      <c r="C18">
        <v>90</v>
      </c>
      <c r="F18">
        <v>20.8</v>
      </c>
      <c r="G18" s="1">
        <v>797</v>
      </c>
      <c r="H18">
        <v>40</v>
      </c>
      <c r="J18">
        <f>Tabelle1[[#This Row],[Currrent(I) mA]]*Tabelle1[[#This Row],[voltage(V) V]]</f>
        <v>16577.600000000002</v>
      </c>
    </row>
    <row r="19" spans="1:10" x14ac:dyDescent="0.35">
      <c r="A19">
        <v>19.399999999999999</v>
      </c>
      <c r="B19" s="1">
        <v>3.07</v>
      </c>
      <c r="C19">
        <v>80</v>
      </c>
      <c r="F19">
        <v>26.1</v>
      </c>
      <c r="G19" s="1">
        <v>760</v>
      </c>
      <c r="H19">
        <v>30</v>
      </c>
      <c r="J19">
        <f>Tabelle1[[#This Row],[Currrent(I) mA]]*Tabelle1[[#This Row],[voltage(V) V]]</f>
        <v>19836</v>
      </c>
    </row>
    <row r="20" spans="1:10" x14ac:dyDescent="0.35">
      <c r="A20" s="1">
        <v>21.9</v>
      </c>
      <c r="B20" s="1">
        <v>3.08</v>
      </c>
      <c r="C20">
        <v>70</v>
      </c>
      <c r="F20" s="1">
        <v>35.799999999999997</v>
      </c>
      <c r="G20" s="1">
        <v>693</v>
      </c>
      <c r="H20">
        <v>20</v>
      </c>
      <c r="J20">
        <f>Tabelle1[[#This Row],[Currrent(I) mA]]*Tabelle1[[#This Row],[voltage(V) V]]</f>
        <v>24809.399999999998</v>
      </c>
    </row>
    <row r="21" spans="1:10" x14ac:dyDescent="0.35">
      <c r="A21" s="1">
        <v>25.2</v>
      </c>
      <c r="B21" s="1">
        <v>3.09</v>
      </c>
      <c r="C21">
        <v>60</v>
      </c>
      <c r="F21" s="1">
        <v>69.3</v>
      </c>
      <c r="G21" s="1">
        <v>735</v>
      </c>
      <c r="H21">
        <v>10</v>
      </c>
      <c r="I21" t="s">
        <v>14</v>
      </c>
      <c r="J21">
        <f>Tabelle1[[#This Row],[Currrent(I) mA]]*Tabelle1[[#This Row],[voltage(V) V]]</f>
        <v>50935.5</v>
      </c>
    </row>
    <row r="22" spans="1:10" x14ac:dyDescent="0.35">
      <c r="A22" s="1">
        <v>29.9</v>
      </c>
      <c r="B22" s="1">
        <v>3.1</v>
      </c>
      <c r="C22">
        <v>50</v>
      </c>
      <c r="F22" s="1">
        <v>79.5</v>
      </c>
      <c r="G22" s="1">
        <v>685</v>
      </c>
      <c r="H22">
        <v>8</v>
      </c>
      <c r="J22">
        <f>Tabelle1[[#This Row],[Currrent(I) mA]]*Tabelle1[[#This Row],[voltage(V) V]]</f>
        <v>54457.5</v>
      </c>
    </row>
    <row r="23" spans="1:10" x14ac:dyDescent="0.35">
      <c r="A23" s="1">
        <v>36.700000000000003</v>
      </c>
      <c r="B23" s="1">
        <v>3.12</v>
      </c>
      <c r="C23">
        <v>40</v>
      </c>
      <c r="F23" s="1">
        <v>93.5</v>
      </c>
      <c r="G23" s="1">
        <v>612</v>
      </c>
      <c r="H23">
        <v>6</v>
      </c>
      <c r="J23">
        <f>Tabelle1[[#This Row],[Currrent(I) mA]]*Tabelle1[[#This Row],[voltage(V) V]]</f>
        <v>57222</v>
      </c>
    </row>
    <row r="24" spans="1:10" x14ac:dyDescent="0.35">
      <c r="A24" s="1">
        <v>47.9</v>
      </c>
      <c r="B24" s="1">
        <v>3.14</v>
      </c>
      <c r="C24">
        <v>30</v>
      </c>
      <c r="F24" s="1">
        <v>113.2</v>
      </c>
      <c r="G24" s="1">
        <v>510</v>
      </c>
      <c r="H24">
        <v>4</v>
      </c>
      <c r="J24">
        <f>Tabelle1[[#This Row],[Currrent(I) mA]]*Tabelle1[[#This Row],[voltage(V) V]]</f>
        <v>57732</v>
      </c>
    </row>
    <row r="25" spans="1:10" x14ac:dyDescent="0.35">
      <c r="A25" s="1">
        <v>69.599999999999994</v>
      </c>
      <c r="B25" s="1">
        <v>3.19</v>
      </c>
      <c r="C25">
        <v>20</v>
      </c>
      <c r="F25" s="1">
        <v>134</v>
      </c>
      <c r="G25" s="1">
        <v>343</v>
      </c>
      <c r="H25">
        <v>2</v>
      </c>
      <c r="J25">
        <f>Tabelle1[[#This Row],[Currrent(I) mA]]*Tabelle1[[#This Row],[voltage(V) V]]</f>
        <v>45962</v>
      </c>
    </row>
    <row r="26" spans="1:10" x14ac:dyDescent="0.35">
      <c r="A26" s="1">
        <v>121.5</v>
      </c>
      <c r="B26" s="1">
        <v>3.27</v>
      </c>
      <c r="C26">
        <v>10</v>
      </c>
      <c r="F26" s="1">
        <v>148</v>
      </c>
      <c r="G26" s="1">
        <v>140</v>
      </c>
      <c r="H26">
        <v>1</v>
      </c>
      <c r="J26">
        <f>Tabelle1[[#This Row],[Currrent(I) mA]]*Tabelle1[[#This Row],[voltage(V) V]]</f>
        <v>20720</v>
      </c>
    </row>
    <row r="27" spans="1:10" x14ac:dyDescent="0.35">
      <c r="A27" s="1">
        <v>145.1</v>
      </c>
      <c r="B27" s="1">
        <v>3.31</v>
      </c>
      <c r="C27">
        <v>8</v>
      </c>
      <c r="F27" s="1">
        <v>120</v>
      </c>
      <c r="G27" s="1">
        <v>20</v>
      </c>
      <c r="H27" s="1">
        <v>0</v>
      </c>
      <c r="J27">
        <f>Tabelle1[[#This Row],[Currrent(I) mA]]*Tabelle1[[#This Row],[voltage(V) V]]</f>
        <v>2400</v>
      </c>
    </row>
    <row r="28" spans="1:10" x14ac:dyDescent="0.35">
      <c r="A28" s="1">
        <v>181.5</v>
      </c>
      <c r="B28" s="1">
        <v>3.36</v>
      </c>
      <c r="C28">
        <v>6</v>
      </c>
      <c r="F28" s="1"/>
      <c r="G28" s="1"/>
    </row>
    <row r="29" spans="1:10" x14ac:dyDescent="0.35">
      <c r="A29" s="1">
        <v>234</v>
      </c>
      <c r="B29" s="1">
        <v>3.39</v>
      </c>
      <c r="C29">
        <v>4</v>
      </c>
      <c r="F29" s="1"/>
      <c r="G29" s="1"/>
    </row>
    <row r="34" spans="1:11" x14ac:dyDescent="0.35">
      <c r="H34" t="s">
        <v>17</v>
      </c>
      <c r="I34" t="s">
        <v>21</v>
      </c>
    </row>
    <row r="35" spans="1:11" x14ac:dyDescent="0.35">
      <c r="A35" t="s">
        <v>18</v>
      </c>
      <c r="B35" t="s">
        <v>19</v>
      </c>
      <c r="C35" t="s">
        <v>20</v>
      </c>
      <c r="H35" t="s">
        <v>23</v>
      </c>
      <c r="I35" t="s">
        <v>22</v>
      </c>
    </row>
    <row r="36" spans="1:11" x14ac:dyDescent="0.35">
      <c r="A36">
        <v>1.78</v>
      </c>
      <c r="B36">
        <v>0</v>
      </c>
    </row>
    <row r="37" spans="1:11" x14ac:dyDescent="0.35">
      <c r="A37">
        <v>1.78</v>
      </c>
      <c r="B37">
        <v>30</v>
      </c>
      <c r="C37">
        <v>9.2799999999999994</v>
      </c>
    </row>
    <row r="38" spans="1:11" x14ac:dyDescent="0.35">
      <c r="A38">
        <v>1.78</v>
      </c>
      <c r="B38">
        <v>60</v>
      </c>
      <c r="C38">
        <v>13.52</v>
      </c>
    </row>
    <row r="39" spans="1:11" x14ac:dyDescent="0.35">
      <c r="A39">
        <v>1.78</v>
      </c>
      <c r="B39">
        <v>90</v>
      </c>
      <c r="C39">
        <v>13.52</v>
      </c>
    </row>
    <row r="40" spans="1:11" x14ac:dyDescent="0.35">
      <c r="A40">
        <v>1.78</v>
      </c>
      <c r="B40">
        <v>120</v>
      </c>
      <c r="C40">
        <v>13.52</v>
      </c>
    </row>
    <row r="41" spans="1:11" x14ac:dyDescent="0.35">
      <c r="A41">
        <v>1.78</v>
      </c>
      <c r="B41">
        <v>150</v>
      </c>
      <c r="C41">
        <v>13.52</v>
      </c>
      <c r="F41" t="s">
        <v>24</v>
      </c>
    </row>
    <row r="42" spans="1:11" x14ac:dyDescent="0.35">
      <c r="A42">
        <v>1.78</v>
      </c>
      <c r="B42">
        <v>180</v>
      </c>
      <c r="C42">
        <v>13.1</v>
      </c>
      <c r="F42" t="s">
        <v>25</v>
      </c>
      <c r="G42" t="s">
        <v>27</v>
      </c>
      <c r="H42" t="s">
        <v>26</v>
      </c>
      <c r="I42" t="s">
        <v>28</v>
      </c>
      <c r="J42" t="s">
        <v>15</v>
      </c>
      <c r="K42" t="s">
        <v>30</v>
      </c>
    </row>
    <row r="43" spans="1:11" x14ac:dyDescent="0.35">
      <c r="A43">
        <v>1.78</v>
      </c>
      <c r="B43">
        <v>210</v>
      </c>
      <c r="C43" s="1">
        <v>12.4</v>
      </c>
      <c r="G43">
        <v>558</v>
      </c>
      <c r="H43" s="2">
        <v>12.1</v>
      </c>
      <c r="I43">
        <v>50</v>
      </c>
      <c r="J43">
        <f>Tabelle2[[#This Row],[voltage V)]]*Tabelle2[[#This Row],[current]]</f>
        <v>6751.8</v>
      </c>
    </row>
    <row r="44" spans="1:11" x14ac:dyDescent="0.35">
      <c r="A44">
        <v>1.78</v>
      </c>
      <c r="B44">
        <v>240</v>
      </c>
      <c r="C44" s="1">
        <v>12.1</v>
      </c>
      <c r="G44">
        <v>543</v>
      </c>
      <c r="H44">
        <v>14.5</v>
      </c>
      <c r="I44">
        <v>40</v>
      </c>
      <c r="J44">
        <f>Tabelle2[[#This Row],[voltage V)]]*Tabelle2[[#This Row],[current]]</f>
        <v>7873.5</v>
      </c>
    </row>
    <row r="45" spans="1:11" x14ac:dyDescent="0.35">
      <c r="A45">
        <v>1.78</v>
      </c>
      <c r="B45">
        <v>270</v>
      </c>
      <c r="C45" s="1">
        <v>10.3</v>
      </c>
      <c r="G45">
        <v>537</v>
      </c>
      <c r="H45" s="2">
        <v>18.3</v>
      </c>
      <c r="I45">
        <v>30</v>
      </c>
      <c r="J45">
        <f>Tabelle2[[#This Row],[voltage V)]]*Tabelle2[[#This Row],[current]]</f>
        <v>9827.1</v>
      </c>
    </row>
    <row r="46" spans="1:11" x14ac:dyDescent="0.35">
      <c r="A46">
        <v>1.78</v>
      </c>
      <c r="B46">
        <v>300</v>
      </c>
      <c r="C46" s="1">
        <v>10.1</v>
      </c>
      <c r="G46">
        <v>534</v>
      </c>
      <c r="H46">
        <v>27.4</v>
      </c>
      <c r="I46">
        <v>20</v>
      </c>
      <c r="J46">
        <f>Tabelle2[[#This Row],[voltage V)]]*Tabelle2[[#This Row],[current]]</f>
        <v>14631.599999999999</v>
      </c>
    </row>
    <row r="47" spans="1:11" x14ac:dyDescent="0.35">
      <c r="G47">
        <v>478</v>
      </c>
      <c r="H47" s="2">
        <v>44.5</v>
      </c>
      <c r="I47">
        <v>10</v>
      </c>
      <c r="J47">
        <f>Tabelle2[[#This Row],[voltage V)]]*Tabelle2[[#This Row],[current]]</f>
        <v>21271</v>
      </c>
    </row>
    <row r="48" spans="1:11" x14ac:dyDescent="0.35">
      <c r="G48">
        <v>462</v>
      </c>
      <c r="H48">
        <v>52.7</v>
      </c>
      <c r="I48">
        <v>8</v>
      </c>
      <c r="J48">
        <f>Tabelle2[[#This Row],[voltage V)]]*Tabelle2[[#This Row],[current]]</f>
        <v>24347.4</v>
      </c>
    </row>
    <row r="49" spans="1:11" x14ac:dyDescent="0.35">
      <c r="G49">
        <v>429</v>
      </c>
      <c r="H49" s="2">
        <v>63.4</v>
      </c>
      <c r="I49">
        <v>6</v>
      </c>
      <c r="J49">
        <f>Tabelle2[[#This Row],[voltage V)]]*Tabelle2[[#This Row],[current]]</f>
        <v>27198.6</v>
      </c>
    </row>
    <row r="50" spans="1:11" x14ac:dyDescent="0.35">
      <c r="G50">
        <v>378</v>
      </c>
      <c r="H50">
        <v>78.400000000000006</v>
      </c>
      <c r="I50">
        <v>4</v>
      </c>
      <c r="J50">
        <f>Tabelle2[[#This Row],[voltage V)]]*Tabelle2[[#This Row],[current]]</f>
        <v>29635.200000000001</v>
      </c>
    </row>
    <row r="51" spans="1:11" x14ac:dyDescent="0.35">
      <c r="G51">
        <v>303</v>
      </c>
      <c r="H51" s="2">
        <v>102.8</v>
      </c>
      <c r="I51">
        <v>2</v>
      </c>
      <c r="J51">
        <f>Tabelle2[[#This Row],[voltage V)]]*Tabelle2[[#This Row],[current]]</f>
        <v>31148.399999999998</v>
      </c>
      <c r="K51" t="s">
        <v>29</v>
      </c>
    </row>
    <row r="52" spans="1:11" x14ac:dyDescent="0.35">
      <c r="G52">
        <v>95</v>
      </c>
      <c r="H52">
        <v>158</v>
      </c>
      <c r="I52">
        <v>0</v>
      </c>
      <c r="J52">
        <f>Tabelle2[[#This Row],[voltage V)]]*Tabelle2[[#This Row],[current]]</f>
        <v>15010</v>
      </c>
    </row>
    <row r="55" spans="1:11" x14ac:dyDescent="0.35">
      <c r="A55" t="s">
        <v>24</v>
      </c>
    </row>
    <row r="56" spans="1:11" x14ac:dyDescent="0.35">
      <c r="A56" t="s">
        <v>25</v>
      </c>
      <c r="B56" t="s">
        <v>27</v>
      </c>
      <c r="C56" t="s">
        <v>26</v>
      </c>
      <c r="D56" t="s">
        <v>28</v>
      </c>
    </row>
    <row r="57" spans="1:11" x14ac:dyDescent="0.35">
      <c r="A57">
        <v>0</v>
      </c>
      <c r="C57" s="2"/>
      <c r="D57">
        <v>2</v>
      </c>
    </row>
    <row r="58" spans="1:11" x14ac:dyDescent="0.35">
      <c r="A58">
        <v>30</v>
      </c>
      <c r="B58">
        <v>260</v>
      </c>
      <c r="C58">
        <v>87.5</v>
      </c>
      <c r="D58">
        <v>2</v>
      </c>
    </row>
    <row r="59" spans="1:11" x14ac:dyDescent="0.35">
      <c r="A59">
        <v>60</v>
      </c>
      <c r="B59">
        <v>308</v>
      </c>
      <c r="C59" s="2">
        <v>105</v>
      </c>
      <c r="D59">
        <v>2</v>
      </c>
      <c r="H59" t="s">
        <v>31</v>
      </c>
    </row>
    <row r="60" spans="1:11" x14ac:dyDescent="0.35">
      <c r="A60">
        <v>90</v>
      </c>
      <c r="B60">
        <v>304</v>
      </c>
      <c r="C60">
        <v>103.2</v>
      </c>
      <c r="D60">
        <v>2</v>
      </c>
      <c r="H60" t="s">
        <v>32</v>
      </c>
    </row>
    <row r="61" spans="1:11" x14ac:dyDescent="0.35">
      <c r="A61">
        <v>120</v>
      </c>
      <c r="B61">
        <v>305</v>
      </c>
      <c r="C61" s="2">
        <v>102</v>
      </c>
      <c r="D61">
        <v>2</v>
      </c>
    </row>
    <row r="62" spans="1:11" x14ac:dyDescent="0.35">
      <c r="A62">
        <v>150</v>
      </c>
      <c r="B62">
        <v>312</v>
      </c>
      <c r="C62">
        <v>104</v>
      </c>
      <c r="D62">
        <v>2</v>
      </c>
    </row>
    <row r="63" spans="1:11" x14ac:dyDescent="0.35">
      <c r="A63">
        <v>180</v>
      </c>
      <c r="B63">
        <v>323</v>
      </c>
      <c r="C63" s="2">
        <v>106</v>
      </c>
      <c r="D63">
        <v>2</v>
      </c>
    </row>
    <row r="65" spans="3:3" x14ac:dyDescent="0.35">
      <c r="C65" s="2"/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Westsächsische Hochschule Zwickau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anwender</dc:creator>
  <cp:lastModifiedBy>anwender</cp:lastModifiedBy>
  <dcterms:created xsi:type="dcterms:W3CDTF">2026-06-01T11:46:15Z</dcterms:created>
  <dcterms:modified xsi:type="dcterms:W3CDTF">2026-06-01T14:15:11Z</dcterms:modified>
</cp:coreProperties>
</file>