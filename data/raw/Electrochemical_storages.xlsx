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esktop\"/>
    </mc:Choice>
  </mc:AlternateContent>
  <bookViews>
    <workbookView xWindow="0" yWindow="0" windowWidth="19200" windowHeight="705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1" l="1"/>
  <c r="N6" i="1" s="1"/>
  <c r="O6" i="1" s="1"/>
  <c r="L5" i="1"/>
  <c r="N5" i="1" s="1"/>
  <c r="O5" i="1" s="1"/>
  <c r="L4" i="1"/>
  <c r="N4" i="1" s="1"/>
  <c r="L3" i="1"/>
  <c r="N3" i="1" s="1"/>
  <c r="J4" i="1"/>
  <c r="J3" i="1"/>
  <c r="O4" i="1" l="1"/>
</calcChain>
</file>

<file path=xl/sharedStrings.xml><?xml version="1.0" encoding="utf-8"?>
<sst xmlns="http://schemas.openxmlformats.org/spreadsheetml/2006/main" count="63" uniqueCount="43">
  <si>
    <t>Before:</t>
  </si>
  <si>
    <t>Current=</t>
  </si>
  <si>
    <t>weight of eloctrode2:</t>
  </si>
  <si>
    <t>g</t>
  </si>
  <si>
    <t>A</t>
  </si>
  <si>
    <t>time =</t>
  </si>
  <si>
    <t>min</t>
  </si>
  <si>
    <t>Exp 1- Faraday's constant</t>
  </si>
  <si>
    <t>Exp 2 - Open Circuit VoltaGE</t>
  </si>
  <si>
    <t>pb battery</t>
  </si>
  <si>
    <t>NiZn</t>
  </si>
  <si>
    <t>NiMH</t>
  </si>
  <si>
    <t>Li polymer</t>
  </si>
  <si>
    <t>weight</t>
  </si>
  <si>
    <t>v</t>
  </si>
  <si>
    <t>SOC</t>
  </si>
  <si>
    <t>4,2</t>
  </si>
  <si>
    <t>3,96</t>
  </si>
  <si>
    <t>2,15</t>
  </si>
  <si>
    <t>2,02</t>
  </si>
  <si>
    <t>1,8</t>
  </si>
  <si>
    <t>1,35</t>
  </si>
  <si>
    <t>1,31</t>
  </si>
  <si>
    <t>charge capacity max
mAh</t>
  </si>
  <si>
    <t>Current charge capacityy</t>
  </si>
  <si>
    <t>current E density (mWh /kg')</t>
  </si>
  <si>
    <t>=M2*G2/I2</t>
  </si>
  <si>
    <t>mean working voltage</t>
  </si>
  <si>
    <t>1,2</t>
  </si>
  <si>
    <t>2</t>
  </si>
  <si>
    <t>weight of eloctrode1:</t>
  </si>
  <si>
    <t>After:</t>
  </si>
  <si>
    <t>EXP 3 U I Curve</t>
  </si>
  <si>
    <t>Resistance (ohms)</t>
  </si>
  <si>
    <t xml:space="preserve">Li Ion </t>
  </si>
  <si>
    <t>U</t>
  </si>
  <si>
    <t>I</t>
  </si>
  <si>
    <t>Pb</t>
  </si>
  <si>
    <t>Ni MH</t>
  </si>
  <si>
    <t>I mA</t>
  </si>
  <si>
    <t>time (sec)</t>
  </si>
  <si>
    <t>try to mantain 230 mA</t>
  </si>
  <si>
    <t xml:space="preserve">EXP  discharging and Chargng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</si>
</sst>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2" fontId="0" fillId="0" borderId="0" xfId="0" applyNumberFormat="1"/>
    <xf numFmtId="0" fontId="0" fillId="0" borderId="0" xfId="0" applyNumberFormat="1"/>
    <xf numFmtId="49" fontId="0" fillId="0" borderId="0" xfId="0" applyNumberFormat="1"/>
    <xf numFmtId="9" fontId="0" fillId="0" borderId="0" xfId="1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2" borderId="0" xfId="0" applyNumberFormat="1" applyFill="1"/>
    <xf numFmtId="0" fontId="0" fillId="2" borderId="0" xfId="0" applyFill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"/>
  <sheetViews>
    <sheetView tabSelected="1" topLeftCell="N16" zoomScale="115" zoomScaleNormal="115" workbookViewId="0">
      <selection activeCell="W24" sqref="W24"/>
    </sheetView>
  </sheetViews>
  <sheetFormatPr baseColWidth="10" defaultRowHeight="14.5" x14ac:dyDescent="0.35"/>
  <cols>
    <col min="14" max="14" width="19.36328125" customWidth="1"/>
    <col min="15" max="15" width="16.6328125" customWidth="1"/>
  </cols>
  <sheetData>
    <row r="1" spans="1:25" x14ac:dyDescent="0.35">
      <c r="R1" s="6" t="s">
        <v>34</v>
      </c>
      <c r="S1" s="6"/>
      <c r="T1" s="6" t="s">
        <v>38</v>
      </c>
      <c r="U1" s="6"/>
      <c r="V1" s="6" t="s">
        <v>37</v>
      </c>
      <c r="W1" s="6"/>
      <c r="X1" s="6"/>
      <c r="Y1" s="6"/>
    </row>
    <row r="2" spans="1:25" ht="58" x14ac:dyDescent="0.35">
      <c r="A2" t="s">
        <v>7</v>
      </c>
      <c r="E2" t="s">
        <v>8</v>
      </c>
      <c r="H2" t="s">
        <v>27</v>
      </c>
      <c r="J2" t="s">
        <v>13</v>
      </c>
      <c r="L2" t="s">
        <v>15</v>
      </c>
      <c r="M2" s="5" t="s">
        <v>23</v>
      </c>
      <c r="N2" s="5" t="s">
        <v>24</v>
      </c>
      <c r="O2" s="5" t="s">
        <v>25</v>
      </c>
      <c r="P2" s="5" t="s">
        <v>32</v>
      </c>
      <c r="Q2" s="5" t="s">
        <v>33</v>
      </c>
      <c r="R2" s="5" t="s">
        <v>35</v>
      </c>
      <c r="S2" s="5" t="s">
        <v>39</v>
      </c>
      <c r="T2" s="5" t="s">
        <v>35</v>
      </c>
      <c r="U2" s="5" t="s">
        <v>36</v>
      </c>
      <c r="V2" s="5" t="s">
        <v>35</v>
      </c>
      <c r="W2" s="5" t="s">
        <v>36</v>
      </c>
      <c r="X2" s="5"/>
      <c r="Y2" s="5"/>
    </row>
    <row r="3" spans="1:25" x14ac:dyDescent="0.35">
      <c r="A3" t="s">
        <v>0</v>
      </c>
      <c r="E3" t="s">
        <v>12</v>
      </c>
      <c r="F3" s="3" t="s">
        <v>16</v>
      </c>
      <c r="G3" s="3" t="s">
        <v>17</v>
      </c>
      <c r="H3" s="3"/>
      <c r="I3" t="s">
        <v>14</v>
      </c>
      <c r="J3">
        <f>109-70</f>
        <v>39</v>
      </c>
      <c r="K3" t="s">
        <v>3</v>
      </c>
      <c r="L3" s="4">
        <f>(G3-3)/(F3-3)</f>
        <v>0.79999999999999982</v>
      </c>
      <c r="M3">
        <v>980</v>
      </c>
      <c r="N3">
        <f>M3*L3</f>
        <v>783.99999999999977</v>
      </c>
      <c r="O3" s="3" t="s">
        <v>26</v>
      </c>
      <c r="Q3">
        <v>50</v>
      </c>
      <c r="R3" s="2">
        <v>3.95</v>
      </c>
      <c r="S3">
        <v>70</v>
      </c>
      <c r="T3">
        <v>1.31</v>
      </c>
      <c r="U3" s="2">
        <v>23.1</v>
      </c>
      <c r="V3" s="2">
        <v>2.06</v>
      </c>
      <c r="W3" s="2">
        <v>36.5</v>
      </c>
    </row>
    <row r="4" spans="1:25" x14ac:dyDescent="0.35">
      <c r="A4" t="s">
        <v>30</v>
      </c>
      <c r="C4">
        <v>70.58</v>
      </c>
      <c r="D4" t="s">
        <v>3</v>
      </c>
      <c r="E4" t="s">
        <v>9</v>
      </c>
      <c r="F4" s="3" t="s">
        <v>18</v>
      </c>
      <c r="G4" s="3" t="s">
        <v>19</v>
      </c>
      <c r="H4" s="3" t="s">
        <v>29</v>
      </c>
      <c r="I4" t="s">
        <v>14</v>
      </c>
      <c r="J4">
        <f>266-70</f>
        <v>196</v>
      </c>
      <c r="K4" t="s">
        <v>3</v>
      </c>
      <c r="L4" s="4">
        <f>(G4-1.9)/(F4-1.9)</f>
        <v>0.48000000000000043</v>
      </c>
      <c r="M4">
        <v>2500</v>
      </c>
      <c r="N4">
        <f>M4*L4</f>
        <v>1200.0000000000011</v>
      </c>
      <c r="O4" s="3">
        <f t="shared" ref="O4:O6" si="0">N4*G4/J4</f>
        <v>12.367346938775523</v>
      </c>
      <c r="Q4">
        <v>40</v>
      </c>
      <c r="R4" s="2">
        <v>3.94</v>
      </c>
      <c r="S4">
        <v>85</v>
      </c>
      <c r="T4">
        <v>1.3</v>
      </c>
      <c r="U4">
        <v>28</v>
      </c>
      <c r="V4">
        <v>2.0499999999999998</v>
      </c>
      <c r="W4">
        <v>44.3</v>
      </c>
    </row>
    <row r="5" spans="1:25" x14ac:dyDescent="0.35">
      <c r="A5" t="s">
        <v>2</v>
      </c>
      <c r="C5">
        <v>70.069999999999993</v>
      </c>
      <c r="D5" t="s">
        <v>3</v>
      </c>
      <c r="E5" t="s">
        <v>10</v>
      </c>
      <c r="F5" s="3" t="s">
        <v>20</v>
      </c>
      <c r="G5" s="1">
        <v>1.41</v>
      </c>
      <c r="H5" s="1"/>
      <c r="I5" t="s">
        <v>14</v>
      </c>
      <c r="J5">
        <v>11</v>
      </c>
      <c r="K5" t="s">
        <v>3</v>
      </c>
      <c r="L5" s="4">
        <f>(G5-1.3)/(F5-1.3)</f>
        <v>0.21999999999999975</v>
      </c>
      <c r="M5">
        <v>550</v>
      </c>
      <c r="N5">
        <f>M5*L5</f>
        <v>120.99999999999986</v>
      </c>
      <c r="O5" s="3">
        <f t="shared" si="0"/>
        <v>15.50999999999998</v>
      </c>
      <c r="Q5">
        <v>30</v>
      </c>
      <c r="R5" s="2">
        <v>3.94</v>
      </c>
      <c r="S5">
        <v>108</v>
      </c>
      <c r="T5">
        <v>1.3</v>
      </c>
      <c r="U5">
        <v>35.700000000000003</v>
      </c>
      <c r="V5">
        <v>2.0499999999999998</v>
      </c>
      <c r="W5">
        <v>56.4</v>
      </c>
    </row>
    <row r="6" spans="1:25" x14ac:dyDescent="0.35">
      <c r="A6" t="s">
        <v>1</v>
      </c>
      <c r="C6">
        <v>0.5</v>
      </c>
      <c r="D6" t="s">
        <v>4</v>
      </c>
      <c r="E6" t="s">
        <v>11</v>
      </c>
      <c r="F6" s="3" t="s">
        <v>21</v>
      </c>
      <c r="G6" s="3" t="s">
        <v>22</v>
      </c>
      <c r="H6" s="3" t="s">
        <v>28</v>
      </c>
      <c r="I6" t="s">
        <v>14</v>
      </c>
      <c r="J6">
        <v>13</v>
      </c>
      <c r="K6" t="s">
        <v>3</v>
      </c>
      <c r="L6" s="4">
        <f>(G6-1)/(F6-1)</f>
        <v>0.88571428571428568</v>
      </c>
      <c r="M6">
        <v>600</v>
      </c>
      <c r="N6">
        <f t="shared" ref="N6" si="1">M6*L6</f>
        <v>531.42857142857144</v>
      </c>
      <c r="O6" s="3">
        <f t="shared" si="0"/>
        <v>53.551648351648353</v>
      </c>
      <c r="Q6">
        <v>20</v>
      </c>
      <c r="R6" s="2">
        <v>3.93</v>
      </c>
      <c r="S6">
        <v>147.9</v>
      </c>
      <c r="T6">
        <v>1.3</v>
      </c>
      <c r="U6">
        <v>49.1</v>
      </c>
      <c r="V6">
        <v>2.0499999999999998</v>
      </c>
      <c r="W6">
        <v>77.5</v>
      </c>
    </row>
    <row r="7" spans="1:25" x14ac:dyDescent="0.35">
      <c r="A7" t="s">
        <v>5</v>
      </c>
      <c r="C7">
        <v>45</v>
      </c>
      <c r="D7" t="s">
        <v>6</v>
      </c>
      <c r="Q7">
        <v>15</v>
      </c>
      <c r="R7" s="2">
        <v>3.92</v>
      </c>
      <c r="S7">
        <v>180.8</v>
      </c>
      <c r="T7">
        <v>1.3</v>
      </c>
      <c r="U7">
        <v>60.4</v>
      </c>
      <c r="V7">
        <v>2.0499999999999998</v>
      </c>
      <c r="W7">
        <v>95.2</v>
      </c>
    </row>
    <row r="8" spans="1:25" x14ac:dyDescent="0.35">
      <c r="Q8">
        <v>10</v>
      </c>
      <c r="R8" s="2">
        <v>3.89</v>
      </c>
      <c r="S8">
        <v>360</v>
      </c>
      <c r="T8">
        <v>1.29</v>
      </c>
      <c r="U8">
        <v>74.7</v>
      </c>
      <c r="V8">
        <v>2.04</v>
      </c>
      <c r="W8">
        <v>117.6</v>
      </c>
    </row>
    <row r="9" spans="1:25" x14ac:dyDescent="0.35">
      <c r="Q9">
        <v>8</v>
      </c>
      <c r="R9" s="2">
        <v>3.87</v>
      </c>
      <c r="S9">
        <v>440</v>
      </c>
      <c r="T9">
        <v>1.29</v>
      </c>
      <c r="U9">
        <v>84.2</v>
      </c>
      <c r="V9">
        <v>2.04</v>
      </c>
      <c r="W9">
        <v>132.4</v>
      </c>
    </row>
    <row r="10" spans="1:25" x14ac:dyDescent="0.35">
      <c r="A10" t="s">
        <v>31</v>
      </c>
      <c r="Q10">
        <v>6</v>
      </c>
      <c r="R10" s="2">
        <v>3.84</v>
      </c>
      <c r="S10">
        <v>560</v>
      </c>
      <c r="T10">
        <v>1.29</v>
      </c>
      <c r="U10">
        <v>96.6</v>
      </c>
      <c r="V10">
        <v>2.04</v>
      </c>
      <c r="W10">
        <v>151.5</v>
      </c>
    </row>
    <row r="11" spans="1:25" x14ac:dyDescent="0.35">
      <c r="A11" t="s">
        <v>30</v>
      </c>
      <c r="C11">
        <v>70.959999999999994</v>
      </c>
      <c r="D11" t="s">
        <v>3</v>
      </c>
      <c r="Q11">
        <v>4</v>
      </c>
      <c r="R11" s="2">
        <v>3.79</v>
      </c>
      <c r="S11">
        <v>760</v>
      </c>
      <c r="T11">
        <v>1.29</v>
      </c>
      <c r="U11">
        <v>113.2</v>
      </c>
      <c r="V11">
        <v>2.0299999999999998</v>
      </c>
      <c r="W11">
        <v>177</v>
      </c>
    </row>
    <row r="12" spans="1:25" x14ac:dyDescent="0.35">
      <c r="A12" t="s">
        <v>2</v>
      </c>
      <c r="C12">
        <v>69.61</v>
      </c>
      <c r="D12" t="s">
        <v>3</v>
      </c>
      <c r="Q12">
        <v>3</v>
      </c>
      <c r="R12" s="2">
        <v>3.75</v>
      </c>
      <c r="S12">
        <v>910</v>
      </c>
      <c r="T12">
        <v>1.29</v>
      </c>
      <c r="U12">
        <v>123.7</v>
      </c>
      <c r="V12">
        <v>2.0299999999999998</v>
      </c>
      <c r="W12">
        <v>193</v>
      </c>
    </row>
    <row r="13" spans="1:25" x14ac:dyDescent="0.35">
      <c r="Q13">
        <v>2</v>
      </c>
      <c r="R13" s="7">
        <v>3.7</v>
      </c>
      <c r="S13" s="8">
        <v>1210</v>
      </c>
      <c r="T13">
        <v>1.28</v>
      </c>
      <c r="U13">
        <v>135</v>
      </c>
      <c r="V13">
        <v>2.0499999999999998</v>
      </c>
      <c r="W13">
        <v>200</v>
      </c>
    </row>
    <row r="14" spans="1:25" x14ac:dyDescent="0.35">
      <c r="Q14">
        <v>1</v>
      </c>
      <c r="R14" s="7">
        <v>3.84</v>
      </c>
      <c r="S14" s="8">
        <v>2100</v>
      </c>
      <c r="T14">
        <v>1.28</v>
      </c>
      <c r="U14">
        <v>160.5</v>
      </c>
      <c r="V14">
        <v>2.0499999999999998</v>
      </c>
      <c r="W14">
        <v>200</v>
      </c>
    </row>
    <row r="17" spans="16:23" x14ac:dyDescent="0.35">
      <c r="R17" s="6" t="s">
        <v>38</v>
      </c>
      <c r="S17" s="6"/>
      <c r="T17" s="6"/>
      <c r="U17" s="6"/>
      <c r="V17" s="6"/>
      <c r="W17" s="6"/>
    </row>
    <row r="18" spans="16:23" ht="58" x14ac:dyDescent="0.35">
      <c r="P18" s="5" t="s">
        <v>42</v>
      </c>
      <c r="Q18" s="5" t="s">
        <v>40</v>
      </c>
      <c r="R18" s="5" t="s">
        <v>35</v>
      </c>
      <c r="S18" s="5" t="s">
        <v>39</v>
      </c>
      <c r="T18" s="5" t="s">
        <v>41</v>
      </c>
      <c r="U18" s="5" t="s">
        <v>40</v>
      </c>
      <c r="V18" s="5" t="s">
        <v>35</v>
      </c>
      <c r="W18" s="5"/>
    </row>
    <row r="19" spans="16:23" x14ac:dyDescent="0.35">
      <c r="Q19">
        <v>0</v>
      </c>
      <c r="R19" s="2">
        <v>1.27</v>
      </c>
      <c r="U19">
        <v>0</v>
      </c>
      <c r="V19" s="2">
        <v>1.27</v>
      </c>
      <c r="W19" s="2"/>
    </row>
    <row r="20" spans="16:23" x14ac:dyDescent="0.35">
      <c r="Q20">
        <v>30</v>
      </c>
      <c r="R20" s="2">
        <v>1.26</v>
      </c>
      <c r="U20">
        <v>30</v>
      </c>
      <c r="V20" s="2">
        <v>1.31</v>
      </c>
    </row>
    <row r="21" spans="16:23" x14ac:dyDescent="0.35">
      <c r="Q21">
        <v>60</v>
      </c>
      <c r="R21" s="2">
        <v>1.26</v>
      </c>
      <c r="U21">
        <v>60</v>
      </c>
      <c r="V21" s="2">
        <v>1.31</v>
      </c>
    </row>
    <row r="22" spans="16:23" x14ac:dyDescent="0.35">
      <c r="Q22">
        <v>90</v>
      </c>
      <c r="R22" s="2">
        <v>1.26</v>
      </c>
      <c r="U22">
        <v>90</v>
      </c>
      <c r="V22" s="2">
        <v>1.32</v>
      </c>
    </row>
    <row r="23" spans="16:23" x14ac:dyDescent="0.35">
      <c r="Q23">
        <v>120</v>
      </c>
      <c r="R23" s="2">
        <v>1.26</v>
      </c>
      <c r="U23">
        <v>120</v>
      </c>
      <c r="V23" s="2">
        <v>1.32</v>
      </c>
    </row>
    <row r="24" spans="16:23" x14ac:dyDescent="0.35">
      <c r="Q24">
        <v>150</v>
      </c>
      <c r="R24" s="2">
        <v>1.25</v>
      </c>
      <c r="U24">
        <v>150</v>
      </c>
      <c r="V24" s="2">
        <v>1.32</v>
      </c>
    </row>
    <row r="25" spans="16:23" x14ac:dyDescent="0.35">
      <c r="Q25">
        <v>180</v>
      </c>
      <c r="R25" s="2">
        <v>1.25</v>
      </c>
      <c r="U25">
        <v>180</v>
      </c>
      <c r="V25" s="2">
        <v>1.33</v>
      </c>
    </row>
    <row r="26" spans="16:23" x14ac:dyDescent="0.35">
      <c r="Q26">
        <v>210</v>
      </c>
      <c r="R26" s="2">
        <v>1.25</v>
      </c>
      <c r="U26">
        <v>210</v>
      </c>
      <c r="V26" s="2">
        <v>1.33</v>
      </c>
    </row>
    <row r="27" spans="16:23" x14ac:dyDescent="0.35">
      <c r="Q27">
        <v>240</v>
      </c>
      <c r="R27" s="2">
        <v>1.24</v>
      </c>
      <c r="U27">
        <v>240</v>
      </c>
      <c r="V27" s="2">
        <v>1.33</v>
      </c>
    </row>
    <row r="28" spans="16:23" x14ac:dyDescent="0.35">
      <c r="Q28">
        <v>270</v>
      </c>
      <c r="R28" s="2">
        <v>1.24</v>
      </c>
      <c r="U28">
        <v>270</v>
      </c>
      <c r="V28" s="2">
        <v>1.34</v>
      </c>
    </row>
    <row r="29" spans="16:23" x14ac:dyDescent="0.35">
      <c r="Q29">
        <v>300</v>
      </c>
      <c r="R29" s="7">
        <v>1.24</v>
      </c>
      <c r="S29" s="8"/>
      <c r="U29">
        <v>300</v>
      </c>
      <c r="V29" s="7">
        <v>1.34</v>
      </c>
    </row>
    <row r="30" spans="16:23" x14ac:dyDescent="0.35">
      <c r="R30" s="7"/>
      <c r="S30" s="8"/>
    </row>
  </sheetData>
  <mergeCells count="7">
    <mergeCell ref="R1:S1"/>
    <mergeCell ref="T1:U1"/>
    <mergeCell ref="V1:W1"/>
    <mergeCell ref="X1:Y1"/>
    <mergeCell ref="R17:S17"/>
    <mergeCell ref="T17:U17"/>
    <mergeCell ref="V17:W1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Westsächsische Hochschule Zwickau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anwender</dc:creator>
  <cp:lastModifiedBy>anwender</cp:lastModifiedBy>
  <dcterms:created xsi:type="dcterms:W3CDTF">2026-07-03T11:34:47Z</dcterms:created>
  <dcterms:modified xsi:type="dcterms:W3CDTF">2026-07-03T14:05:25Z</dcterms:modified>
</cp:coreProperties>
</file>