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ttu\Desktop\"/>
    </mc:Choice>
  </mc:AlternateContent>
  <xr:revisionPtr revIDLastSave="0" documentId="13_ncr:1_{CB2C81CE-9469-4E6E-8E9F-A4D2644F78E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ound 1" sheetId="1" r:id="rId1"/>
  </sheets>
  <calcPr calcId="191028"/>
</workbook>
</file>

<file path=xl/calcChain.xml><?xml version="1.0" encoding="utf-8"?>
<calcChain xmlns="http://schemas.openxmlformats.org/spreadsheetml/2006/main">
  <c r="AO15" i="1" l="1"/>
  <c r="AV20" i="1"/>
  <c r="AV19" i="1"/>
  <c r="AV17" i="1"/>
  <c r="AV16" i="1"/>
  <c r="AV15" i="1"/>
  <c r="AV14" i="1"/>
  <c r="AV13" i="1"/>
  <c r="AV18" i="1"/>
  <c r="AS20" i="1"/>
  <c r="AS18" i="1"/>
  <c r="AS17" i="1"/>
  <c r="AS16" i="1"/>
  <c r="AS15" i="1"/>
  <c r="AS14" i="1"/>
  <c r="AS13" i="1"/>
  <c r="AS19" i="1"/>
  <c r="AJ20" i="1"/>
  <c r="AJ18" i="1"/>
  <c r="AJ17" i="1"/>
  <c r="AE18" i="1"/>
  <c r="AC17" i="1"/>
  <c r="AC16" i="1"/>
  <c r="AC15" i="1"/>
  <c r="AC14" i="1"/>
  <c r="AC13" i="1"/>
  <c r="K20" i="1"/>
  <c r="K19" i="1"/>
  <c r="H14" i="1"/>
  <c r="E14" i="1"/>
  <c r="H13" i="1"/>
  <c r="E13" i="1"/>
  <c r="AG13" i="1"/>
  <c r="AG14" i="1"/>
  <c r="AG15" i="1"/>
  <c r="AG16" i="1"/>
  <c r="D30" i="1"/>
  <c r="D29" i="1"/>
  <c r="I19" i="1"/>
  <c r="H19" i="1"/>
  <c r="J19" i="1" s="1"/>
  <c r="D19" i="1"/>
  <c r="T18" i="1"/>
  <c r="Q18" i="1"/>
  <c r="P18" i="1"/>
  <c r="R18" i="1" s="1"/>
  <c r="L18" i="1"/>
  <c r="H18" i="1"/>
  <c r="I18" i="1"/>
  <c r="E18" i="1"/>
  <c r="D18" i="1"/>
  <c r="AB17" i="1"/>
  <c r="AB16" i="1"/>
  <c r="AB14" i="1"/>
  <c r="AB24" i="1"/>
  <c r="Y17" i="1"/>
  <c r="X17" i="1"/>
  <c r="Z17" i="1" s="1"/>
  <c r="U17" i="1"/>
  <c r="T17" i="1"/>
  <c r="Q17" i="1"/>
  <c r="P17" i="1"/>
  <c r="R17" i="1" s="1"/>
  <c r="M17" i="1"/>
  <c r="L17" i="1"/>
  <c r="I17" i="1"/>
  <c r="H17" i="1"/>
  <c r="J17" i="1" s="1"/>
  <c r="E17" i="1"/>
  <c r="D17" i="1"/>
  <c r="Y16" i="1"/>
  <c r="X16" i="1"/>
  <c r="Z16" i="1" s="1"/>
  <c r="U16" i="1"/>
  <c r="T16" i="1"/>
  <c r="P16" i="1"/>
  <c r="R16" i="1" s="1"/>
  <c r="Q16" i="1"/>
  <c r="M16" i="1"/>
  <c r="L16" i="1"/>
  <c r="I16" i="1"/>
  <c r="H16" i="1"/>
  <c r="J16" i="1" s="1"/>
  <c r="E16" i="1"/>
  <c r="D16" i="1"/>
  <c r="D13" i="1"/>
  <c r="D14" i="1"/>
  <c r="D15" i="1"/>
  <c r="AK15" i="1"/>
  <c r="AL15" i="1" s="1"/>
  <c r="AH15" i="1"/>
  <c r="AH24" i="1" s="1"/>
  <c r="Y15" i="1"/>
  <c r="X15" i="1"/>
  <c r="Z15" i="1" s="1"/>
  <c r="U15" i="1"/>
  <c r="T15" i="1"/>
  <c r="Q15" i="1"/>
  <c r="P15" i="1"/>
  <c r="R15" i="1" s="1"/>
  <c r="M15" i="1"/>
  <c r="L15" i="1"/>
  <c r="I15" i="1"/>
  <c r="H15" i="1"/>
  <c r="J15" i="1" s="1"/>
  <c r="E15" i="1"/>
  <c r="BF14" i="1"/>
  <c r="BD14" i="1"/>
  <c r="BA14" i="1"/>
  <c r="BC14" i="1" s="1"/>
  <c r="AR14" i="1"/>
  <c r="AP14" i="1"/>
  <c r="AQ14" i="1"/>
  <c r="AM14" i="1"/>
  <c r="AM13" i="1"/>
  <c r="AM24" i="1"/>
  <c r="AN15" i="1" s="1"/>
  <c r="AK14" i="1"/>
  <c r="AL14" i="1" s="1"/>
  <c r="Y14" i="1"/>
  <c r="X14" i="1"/>
  <c r="Z14" i="1"/>
  <c r="U14" i="1"/>
  <c r="T14" i="1"/>
  <c r="Q14" i="1"/>
  <c r="P14" i="1"/>
  <c r="M14" i="1"/>
  <c r="L14" i="1"/>
  <c r="J14" i="1"/>
  <c r="I14" i="1"/>
  <c r="BF13" i="1"/>
  <c r="BG13" i="1" s="1"/>
  <c r="BD13" i="1"/>
  <c r="BA13" i="1"/>
  <c r="BC13" i="1" s="1"/>
  <c r="AP13" i="1"/>
  <c r="AK13" i="1"/>
  <c r="AL13" i="1" s="1"/>
  <c r="Y13" i="1"/>
  <c r="Q13" i="1"/>
  <c r="I13" i="1"/>
  <c r="X13" i="1"/>
  <c r="Z13" i="1" s="1"/>
  <c r="P13" i="1"/>
  <c r="R13" i="1" s="1"/>
  <c r="AR13" i="1"/>
  <c r="AQ13" i="1"/>
  <c r="AQ24" i="1"/>
  <c r="AH13" i="1"/>
  <c r="U13" i="1"/>
  <c r="T13" i="1"/>
  <c r="M13" i="1"/>
  <c r="L13" i="1"/>
  <c r="J13" i="1"/>
  <c r="BB6" i="1"/>
  <c r="BA6" i="1"/>
  <c r="BE13" i="1"/>
  <c r="AZ6" i="1"/>
  <c r="AY6" i="1"/>
  <c r="BE14" i="1"/>
  <c r="BB13" i="1"/>
  <c r="BG14" i="1"/>
  <c r="AM15" i="1" l="1"/>
  <c r="AL24" i="1"/>
  <c r="AJ16" i="1" s="1"/>
  <c r="P33" i="1"/>
  <c r="T24" i="1"/>
  <c r="AC24" i="1"/>
  <c r="AA18" i="1" s="1"/>
  <c r="D43" i="1"/>
  <c r="Z24" i="1"/>
  <c r="W18" i="1" s="1"/>
  <c r="U24" i="1"/>
  <c r="AW13" i="1"/>
  <c r="AY13" i="1" s="1"/>
  <c r="L24" i="1"/>
  <c r="N19" i="1" s="1"/>
  <c r="R14" i="1"/>
  <c r="R24" i="1" s="1"/>
  <c r="M24" i="1"/>
  <c r="AU22" i="1"/>
  <c r="D42" i="1"/>
  <c r="AW14" i="1"/>
  <c r="AY14" i="1" s="1"/>
  <c r="BB14" i="1"/>
  <c r="J18" i="1"/>
  <c r="J24" i="1"/>
  <c r="H20" i="1" s="1"/>
  <c r="J20" i="1" s="1"/>
  <c r="E24" i="1"/>
  <c r="D24" i="1"/>
  <c r="AI17" i="1" l="1"/>
  <c r="D31" i="1"/>
  <c r="BF15" i="1"/>
  <c r="BG15" i="1" s="1"/>
  <c r="BD15" i="1"/>
  <c r="BE15" i="1" s="1"/>
  <c r="AN16" i="1"/>
  <c r="AO16" i="1" s="1"/>
  <c r="AR15" i="1"/>
  <c r="AP15" i="1"/>
  <c r="BA15" i="1"/>
  <c r="AK16" i="1"/>
  <c r="AU14" i="1"/>
  <c r="AX14" i="1" s="1"/>
  <c r="BH14" i="1" s="1"/>
  <c r="BI14" i="1" s="1"/>
  <c r="AT14" i="1"/>
  <c r="J30" i="1" s="1"/>
  <c r="AA19" i="1"/>
  <c r="AC19" i="1" s="1"/>
  <c r="X18" i="1"/>
  <c r="Y18" i="1"/>
  <c r="AU13" i="1"/>
  <c r="AX13" i="1" s="1"/>
  <c r="BH13" i="1" s="1"/>
  <c r="BI13" i="1" s="1"/>
  <c r="AT13" i="1"/>
  <c r="J29" i="1" s="1"/>
  <c r="O19" i="1"/>
  <c r="S19" i="1" s="1"/>
  <c r="V19" i="1" s="1"/>
  <c r="W19" i="1" s="1"/>
  <c r="P30" i="1"/>
  <c r="C20" i="1"/>
  <c r="AM16" i="1" l="1"/>
  <c r="BB15" i="1"/>
  <c r="BC15" i="1"/>
  <c r="D32" i="1"/>
  <c r="AR16" i="1"/>
  <c r="BF16" i="1"/>
  <c r="BG16" i="1" s="1"/>
  <c r="AN17" i="1"/>
  <c r="AO17" i="1" s="1"/>
  <c r="BA16" i="1"/>
  <c r="AP16" i="1"/>
  <c r="AQ16" i="1" s="1"/>
  <c r="BD16" i="1"/>
  <c r="BE16" i="1" s="1"/>
  <c r="AP24" i="1"/>
  <c r="AQ15" i="1"/>
  <c r="AW15" i="1"/>
  <c r="AY15" i="1" s="1"/>
  <c r="AW16" i="1"/>
  <c r="AY16" i="1" s="1"/>
  <c r="AI18" i="1"/>
  <c r="AH17" i="1"/>
  <c r="AL16" i="1"/>
  <c r="AC25" i="1"/>
  <c r="AA20" i="1" s="1"/>
  <c r="AC20" i="1" s="1"/>
  <c r="AC18" i="1"/>
  <c r="Z18" i="1"/>
  <c r="P19" i="1"/>
  <c r="R19" i="1" s="1"/>
  <c r="Q19" i="1"/>
  <c r="F20" i="1"/>
  <c r="BC16" i="1" l="1"/>
  <c r="BB16" i="1"/>
  <c r="D44" i="1"/>
  <c r="AU15" i="1"/>
  <c r="AX15" i="1" s="1"/>
  <c r="BH15" i="1" s="1"/>
  <c r="BI15" i="1" s="1"/>
  <c r="AP17" i="1"/>
  <c r="BF17" i="1"/>
  <c r="BG17" i="1" s="1"/>
  <c r="BA17" i="1"/>
  <c r="AN18" i="1"/>
  <c r="AO18" i="1" s="1"/>
  <c r="D33" i="1"/>
  <c r="AR17" i="1"/>
  <c r="BD17" i="1"/>
  <c r="BE17" i="1" s="1"/>
  <c r="AT15" i="1"/>
  <c r="J31" i="1" s="1"/>
  <c r="AT16" i="1"/>
  <c r="J32" i="1" s="1"/>
  <c r="AU16" i="1"/>
  <c r="AX16" i="1" s="1"/>
  <c r="D45" i="1"/>
  <c r="AM17" i="1"/>
  <c r="AK17" i="1"/>
  <c r="AI19" i="1"/>
  <c r="G20" i="1"/>
  <c r="N20" i="1" s="1"/>
  <c r="Y19" i="1"/>
  <c r="X19" i="1"/>
  <c r="BH16" i="1" l="1"/>
  <c r="BI16" i="1" s="1"/>
  <c r="AQ17" i="1"/>
  <c r="D34" i="1"/>
  <c r="AP18" i="1"/>
  <c r="AQ18" i="1" s="1"/>
  <c r="AN19" i="1"/>
  <c r="AO19" i="1" s="1"/>
  <c r="BD18" i="1"/>
  <c r="BE18" i="1" s="1"/>
  <c r="BA18" i="1"/>
  <c r="AR18" i="1"/>
  <c r="BF18" i="1"/>
  <c r="BG18" i="1" s="1"/>
  <c r="BC17" i="1"/>
  <c r="BB17" i="1"/>
  <c r="AM18" i="1"/>
  <c r="AK18" i="1"/>
  <c r="AJ19" i="1"/>
  <c r="AI20" i="1" s="1"/>
  <c r="AW17" i="1"/>
  <c r="AY17" i="1" s="1"/>
  <c r="AL17" i="1"/>
  <c r="AD19" i="1"/>
  <c r="Z19" i="1"/>
  <c r="I20" i="1"/>
  <c r="J43" i="1"/>
  <c r="P43" i="1" s="1"/>
  <c r="O20" i="1"/>
  <c r="BC18" i="1" l="1"/>
  <c r="BB18" i="1"/>
  <c r="AN20" i="1"/>
  <c r="AO20" i="1" s="1"/>
  <c r="AP19" i="1"/>
  <c r="AQ19" i="1" s="1"/>
  <c r="BA19" i="1"/>
  <c r="D35" i="1"/>
  <c r="AR19" i="1"/>
  <c r="BD19" i="1"/>
  <c r="BE19" i="1" s="1"/>
  <c r="BF19" i="1"/>
  <c r="BG19" i="1" s="1"/>
  <c r="AM19" i="1"/>
  <c r="AK19" i="1"/>
  <c r="AL18" i="1"/>
  <c r="AW18" i="1"/>
  <c r="AY18" i="1" s="1"/>
  <c r="D46" i="1"/>
  <c r="AU17" i="1"/>
  <c r="AX17" i="1" s="1"/>
  <c r="BH17" i="1" s="1"/>
  <c r="BI17" i="1" s="1"/>
  <c r="AT17" i="1"/>
  <c r="J33" i="1" s="1"/>
  <c r="AE19" i="1"/>
  <c r="AH18" i="1"/>
  <c r="P20" i="1"/>
  <c r="J44" i="1"/>
  <c r="Q20" i="1"/>
  <c r="S20" i="1"/>
  <c r="V20" i="1" s="1"/>
  <c r="BB19" i="1" l="1"/>
  <c r="BC19" i="1"/>
  <c r="AP20" i="1"/>
  <c r="AQ20" i="1" s="1"/>
  <c r="J48" i="1"/>
  <c r="AR20" i="1"/>
  <c r="D36" i="1"/>
  <c r="D37" i="1" s="1"/>
  <c r="BA20" i="1"/>
  <c r="BD20" i="1"/>
  <c r="BE20" i="1" s="1"/>
  <c r="AL19" i="1"/>
  <c r="AW19" i="1"/>
  <c r="AY19" i="1" s="1"/>
  <c r="AU18" i="1"/>
  <c r="AX18" i="1" s="1"/>
  <c r="BH18" i="1" s="1"/>
  <c r="BI18" i="1" s="1"/>
  <c r="D47" i="1"/>
  <c r="AT18" i="1"/>
  <c r="J34" i="1" s="1"/>
  <c r="J47" i="1"/>
  <c r="AM20" i="1"/>
  <c r="AK20" i="1"/>
  <c r="AL20" i="1" s="1"/>
  <c r="W20" i="1"/>
  <c r="BF20" i="1"/>
  <c r="BG20" i="1" s="1"/>
  <c r="P31" i="1"/>
  <c r="P44" i="1" s="1"/>
  <c r="R20" i="1"/>
  <c r="BC20" i="1" l="1"/>
  <c r="BB20" i="1"/>
  <c r="P35" i="1"/>
  <c r="P48" i="1" s="1"/>
  <c r="D48" i="1"/>
  <c r="AT19" i="1"/>
  <c r="J35" i="1" s="1"/>
  <c r="AU19" i="1"/>
  <c r="AX19" i="1" s="1"/>
  <c r="BH19" i="1" s="1"/>
  <c r="BI19" i="1" s="1"/>
  <c r="P34" i="1"/>
  <c r="P47" i="1" s="1"/>
  <c r="X20" i="1"/>
  <c r="J45" i="1"/>
  <c r="Y20" i="1"/>
  <c r="AW20" i="1" s="1"/>
  <c r="AY20" i="1" s="1"/>
  <c r="Z20" i="1" l="1"/>
  <c r="P32" i="1"/>
  <c r="P36" i="1" s="1"/>
  <c r="AD20" i="1"/>
  <c r="AE20" i="1" s="1"/>
  <c r="P45" i="1" l="1"/>
  <c r="AU20" i="1"/>
  <c r="AX20" i="1" s="1"/>
  <c r="BH20" i="1" s="1"/>
  <c r="BI20" i="1" s="1"/>
  <c r="AT20" i="1"/>
  <c r="J36" i="1" s="1"/>
  <c r="J37" i="1" s="1"/>
  <c r="D49" i="1"/>
  <c r="D50" i="1" s="1"/>
  <c r="AH20" i="1"/>
  <c r="J46" i="1"/>
  <c r="J49" i="1" l="1"/>
  <c r="P46" i="1"/>
  <c r="P49" i="1" s="1"/>
</calcChain>
</file>

<file path=xl/sharedStrings.xml><?xml version="1.0" encoding="utf-8"?>
<sst xmlns="http://schemas.openxmlformats.org/spreadsheetml/2006/main" count="140" uniqueCount="74">
  <si>
    <t>processing costs (eur/min)</t>
  </si>
  <si>
    <t>heating costs (eur/heat)</t>
  </si>
  <si>
    <t>capital commitment costs (Ct/hour)</t>
  </si>
  <si>
    <t>SHOR CYCLE TIME BUT HIGH COSTS? OR LONG DELIVERY TIMEA AND LOW COSTS?</t>
  </si>
  <si>
    <t>machine</t>
  </si>
  <si>
    <t>worker</t>
  </si>
  <si>
    <t>socket</t>
  </si>
  <si>
    <t>basic part</t>
  </si>
  <si>
    <t>crank husk</t>
  </si>
  <si>
    <t>harp leaf</t>
  </si>
  <si>
    <t>Ct/min</t>
  </si>
  <si>
    <t>A1</t>
  </si>
  <si>
    <t>A2</t>
  </si>
  <si>
    <t>A3</t>
  </si>
  <si>
    <t>Batch</t>
  </si>
  <si>
    <t>Batchsize</t>
  </si>
  <si>
    <t>Refinig</t>
  </si>
  <si>
    <t>Quality Check</t>
  </si>
  <si>
    <t>Rework</t>
  </si>
  <si>
    <t>Cycle time batch</t>
  </si>
  <si>
    <t>Processing time batch</t>
  </si>
  <si>
    <t>Waiting time</t>
  </si>
  <si>
    <t>Processing time per part</t>
  </si>
  <si>
    <t>Worker time per batch</t>
  </si>
  <si>
    <t>Worker time per part</t>
  </si>
  <si>
    <t xml:space="preserve">costs per part machine </t>
  </si>
  <si>
    <t>costs per worker</t>
  </si>
  <si>
    <t>extra costs gor heating per part</t>
  </si>
  <si>
    <t>cycle time socket and basic part</t>
  </si>
  <si>
    <t>costs socket per part</t>
  </si>
  <si>
    <t>costs basic part per part</t>
  </si>
  <si>
    <t>cycle time crank husk</t>
  </si>
  <si>
    <t>costs crank husk per part</t>
  </si>
  <si>
    <t>cycle time harp leaf per part</t>
  </si>
  <si>
    <t>costs harp leaf per part</t>
  </si>
  <si>
    <t>sum costs per part</t>
  </si>
  <si>
    <t>sum costs per batch</t>
  </si>
  <si>
    <t>Start procure Mat.</t>
  </si>
  <si>
    <t>time material procurement</t>
  </si>
  <si>
    <t>Time of the process until start of material procument next batch</t>
  </si>
  <si>
    <t>Start process</t>
  </si>
  <si>
    <t>End process</t>
  </si>
  <si>
    <t>processing time</t>
  </si>
  <si>
    <t>worker time</t>
  </si>
  <si>
    <t>processing time per part</t>
  </si>
  <si>
    <t>time end of process until start of material procurement for the next batch</t>
  </si>
  <si>
    <t>Arrival time</t>
  </si>
  <si>
    <t>Transportation time</t>
  </si>
  <si>
    <t>start process</t>
  </si>
  <si>
    <t>end process</t>
  </si>
  <si>
    <t>quantity (Batchsize/operated  parts)</t>
  </si>
  <si>
    <t>transportation time+waiting time</t>
  </si>
  <si>
    <t>(1) 4/4+(2) 4/4</t>
  </si>
  <si>
    <t>(3) 6/6+(4) 4/2</t>
  </si>
  <si>
    <t>(4) 4/2+(5) 6/6</t>
  </si>
  <si>
    <t>(6) 5/5+(7) 4/3</t>
  </si>
  <si>
    <t>(7) 4/1+(8) 4/4</t>
  </si>
  <si>
    <t>Average</t>
  </si>
  <si>
    <t>transportation time=arrival time-end process</t>
  </si>
  <si>
    <t>rework, 1,2 3,</t>
  </si>
  <si>
    <t>waiting time=start process-arrival time--&gt; arriaval time=started process-waiting time</t>
  </si>
  <si>
    <t>Cycle time per batch</t>
  </si>
  <si>
    <t>Waiting time per batch</t>
  </si>
  <si>
    <t>workplace</t>
  </si>
  <si>
    <t>Operation (or process) time per workplace</t>
  </si>
  <si>
    <t>transportation time=start process-waiting time-end process</t>
  </si>
  <si>
    <t>Storage</t>
  </si>
  <si>
    <t>Refining</t>
  </si>
  <si>
    <t>Round 1</t>
  </si>
  <si>
    <t>Processing time per batch</t>
  </si>
  <si>
    <t>Providing (available) time for staff / workplace</t>
  </si>
  <si>
    <t>Idle time per workplace</t>
  </si>
  <si>
    <t>00:53:050</t>
  </si>
  <si>
    <t>A2 +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</si>
</sst>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;@"/>
    <numFmt numFmtId="165" formatCode="[$-F400]h:mm:ss\ AM/PM"/>
    <numFmt numFmtId="166" formatCode="0.000"/>
  </numFmts>
  <fonts count="15" x14ac:knownFonts="1">
    <font>
      <sz val="10"/>
      <color indexed="8"/>
      <name val="Arial"/>
    </font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</font>
    <font>
      <i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charset val="204"/>
    </font>
    <font>
      <sz val="10"/>
      <color rgb="FFC00000"/>
      <name val="Arial"/>
      <family val="2"/>
    </font>
    <font>
      <b/>
      <sz val="10"/>
      <color theme="9" tint="-0.499984740745262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8">
    <xf numFmtId="0" fontId="0" fillId="0" borderId="0" xfId="0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0" fillId="0" borderId="1" xfId="0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2" fillId="0" borderId="0" xfId="0" applyFont="1"/>
    <xf numFmtId="49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6" fillId="2" borderId="1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center" vertical="center" wrapText="1"/>
    </xf>
    <xf numFmtId="49" fontId="6" fillId="5" borderId="12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2" xfId="0" applyNumberFormat="1" applyFont="1" applyFill="1" applyBorder="1" applyAlignment="1">
      <alignment horizontal="center" vertical="center" wrapText="1"/>
    </xf>
    <xf numFmtId="0" fontId="0" fillId="0" borderId="2" xfId="0" applyBorder="1"/>
    <xf numFmtId="21" fontId="0" fillId="0" borderId="11" xfId="0" applyNumberFormat="1" applyBorder="1"/>
    <xf numFmtId="21" fontId="0" fillId="0" borderId="1" xfId="0" applyNumberFormat="1" applyBorder="1"/>
    <xf numFmtId="164" fontId="1" fillId="0" borderId="1" xfId="1" applyNumberFormat="1" applyBorder="1"/>
    <xf numFmtId="21" fontId="0" fillId="4" borderId="1" xfId="0" applyNumberFormat="1" applyFill="1" applyBorder="1"/>
    <xf numFmtId="21" fontId="0" fillId="0" borderId="12" xfId="0" applyNumberFormat="1" applyBorder="1"/>
    <xf numFmtId="21" fontId="0" fillId="3" borderId="11" xfId="0" applyNumberFormat="1" applyFill="1" applyBorder="1"/>
    <xf numFmtId="21" fontId="0" fillId="3" borderId="1" xfId="0" applyNumberFormat="1" applyFill="1" applyBorder="1"/>
    <xf numFmtId="165" fontId="1" fillId="0" borderId="1" xfId="1" applyNumberFormat="1" applyBorder="1"/>
    <xf numFmtId="21" fontId="0" fillId="3" borderId="12" xfId="0" applyNumberFormat="1" applyFill="1" applyBorder="1"/>
    <xf numFmtId="21" fontId="5" fillId="0" borderId="1" xfId="0" applyNumberFormat="1" applyFont="1" applyBorder="1"/>
    <xf numFmtId="21" fontId="8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center"/>
    </xf>
    <xf numFmtId="21" fontId="0" fillId="5" borderId="12" xfId="0" applyNumberFormat="1" applyFill="1" applyBorder="1"/>
    <xf numFmtId="21" fontId="0" fillId="5" borderId="1" xfId="0" applyNumberFormat="1" applyFill="1" applyBorder="1"/>
    <xf numFmtId="21" fontId="0" fillId="3" borderId="2" xfId="0" applyNumberFormat="1" applyFill="1" applyBorder="1"/>
    <xf numFmtId="21" fontId="8" fillId="3" borderId="12" xfId="0" applyNumberFormat="1" applyFont="1" applyFill="1" applyBorder="1"/>
    <xf numFmtId="21" fontId="5" fillId="0" borderId="15" xfId="0" applyNumberFormat="1" applyFont="1" applyBorder="1"/>
    <xf numFmtId="21" fontId="2" fillId="0" borderId="1" xfId="0" applyNumberFormat="1" applyFont="1" applyBorder="1"/>
    <xf numFmtId="2" fontId="0" fillId="0" borderId="1" xfId="0" applyNumberFormat="1" applyBorder="1"/>
    <xf numFmtId="166" fontId="0" fillId="0" borderId="1" xfId="0" applyNumberFormat="1" applyBorder="1"/>
    <xf numFmtId="21" fontId="1" fillId="0" borderId="1" xfId="1" applyNumberFormat="1" applyBorder="1"/>
    <xf numFmtId="21" fontId="2" fillId="3" borderId="1" xfId="0" applyNumberFormat="1" applyFont="1" applyFill="1" applyBorder="1"/>
    <xf numFmtId="21" fontId="2" fillId="0" borderId="11" xfId="0" applyNumberFormat="1" applyFont="1" applyBorder="1"/>
    <xf numFmtId="21" fontId="9" fillId="3" borderId="1" xfId="0" applyNumberFormat="1" applyFont="1" applyFill="1" applyBorder="1"/>
    <xf numFmtId="21" fontId="5" fillId="3" borderId="1" xfId="0" applyNumberFormat="1" applyFont="1" applyFill="1" applyBorder="1"/>
    <xf numFmtId="21" fontId="10" fillId="3" borderId="1" xfId="0" applyNumberFormat="1" applyFont="1" applyFill="1" applyBorder="1"/>
    <xf numFmtId="21" fontId="5" fillId="3" borderId="12" xfId="0" applyNumberFormat="1" applyFont="1" applyFill="1" applyBorder="1"/>
    <xf numFmtId="21" fontId="5" fillId="0" borderId="11" xfId="0" applyNumberFormat="1" applyFont="1" applyBorder="1"/>
    <xf numFmtId="21" fontId="8" fillId="4" borderId="1" xfId="0" applyNumberFormat="1" applyFont="1" applyFill="1" applyBorder="1"/>
    <xf numFmtId="21" fontId="5" fillId="0" borderId="12" xfId="0" applyNumberFormat="1" applyFont="1" applyBorder="1"/>
    <xf numFmtId="21" fontId="5" fillId="3" borderId="11" xfId="0" applyNumberFormat="1" applyFont="1" applyFill="1" applyBorder="1"/>
    <xf numFmtId="21" fontId="9" fillId="0" borderId="1" xfId="0" applyNumberFormat="1" applyFont="1" applyBorder="1"/>
    <xf numFmtId="21" fontId="9" fillId="4" borderId="1" xfId="0" applyNumberFormat="1" applyFont="1" applyFill="1" applyBorder="1"/>
    <xf numFmtId="21" fontId="9" fillId="0" borderId="12" xfId="0" applyNumberFormat="1" applyFont="1" applyBorder="1"/>
    <xf numFmtId="21" fontId="9" fillId="3" borderId="11" xfId="0" applyNumberFormat="1" applyFont="1" applyFill="1" applyBorder="1"/>
    <xf numFmtId="0" fontId="11" fillId="0" borderId="1" xfId="0" applyFont="1" applyBorder="1"/>
    <xf numFmtId="0" fontId="0" fillId="3" borderId="1" xfId="0" applyFill="1" applyBorder="1"/>
    <xf numFmtId="21" fontId="9" fillId="3" borderId="12" xfId="0" applyNumberFormat="1" applyFont="1" applyFill="1" applyBorder="1"/>
    <xf numFmtId="21" fontId="9" fillId="0" borderId="11" xfId="0" applyNumberFormat="1" applyFont="1" applyBorder="1"/>
    <xf numFmtId="21" fontId="11" fillId="0" borderId="16" xfId="0" applyNumberFormat="1" applyFont="1" applyBorder="1"/>
    <xf numFmtId="0" fontId="11" fillId="0" borderId="17" xfId="0" applyFont="1" applyBorder="1"/>
    <xf numFmtId="21" fontId="11" fillId="0" borderId="17" xfId="0" applyNumberFormat="1" applyFont="1" applyBorder="1"/>
    <xf numFmtId="21" fontId="9" fillId="4" borderId="17" xfId="0" applyNumberFormat="1" applyFont="1" applyFill="1" applyBorder="1"/>
    <xf numFmtId="21" fontId="9" fillId="0" borderId="17" xfId="0" applyNumberFormat="1" applyFont="1" applyBorder="1"/>
    <xf numFmtId="21" fontId="9" fillId="0" borderId="18" xfId="0" applyNumberFormat="1" applyFont="1" applyBorder="1"/>
    <xf numFmtId="21" fontId="9" fillId="3" borderId="16" xfId="0" applyNumberFormat="1" applyFont="1" applyFill="1" applyBorder="1"/>
    <xf numFmtId="0" fontId="0" fillId="3" borderId="17" xfId="0" applyFill="1" applyBorder="1"/>
    <xf numFmtId="21" fontId="9" fillId="3" borderId="17" xfId="0" applyNumberFormat="1" applyFont="1" applyFill="1" applyBorder="1"/>
    <xf numFmtId="21" fontId="9" fillId="3" borderId="18" xfId="0" applyNumberFormat="1" applyFont="1" applyFill="1" applyBorder="1"/>
    <xf numFmtId="21" fontId="9" fillId="0" borderId="16" xfId="0" applyNumberFormat="1" applyFont="1" applyBorder="1"/>
    <xf numFmtId="0" fontId="0" fillId="0" borderId="17" xfId="0" applyBorder="1"/>
    <xf numFmtId="21" fontId="10" fillId="3" borderId="17" xfId="0" applyNumberFormat="1" applyFont="1" applyFill="1" applyBorder="1"/>
    <xf numFmtId="21" fontId="0" fillId="3" borderId="17" xfId="0" applyNumberFormat="1" applyFill="1" applyBorder="1"/>
    <xf numFmtId="49" fontId="2" fillId="3" borderId="17" xfId="0" applyNumberFormat="1" applyFont="1" applyFill="1" applyBorder="1" applyAlignment="1">
      <alignment horizontal="center"/>
    </xf>
    <xf numFmtId="21" fontId="0" fillId="5" borderId="18" xfId="0" applyNumberFormat="1" applyFill="1" applyBorder="1"/>
    <xf numFmtId="21" fontId="0" fillId="5" borderId="17" xfId="0" applyNumberFormat="1" applyFill="1" applyBorder="1"/>
    <xf numFmtId="21" fontId="0" fillId="3" borderId="19" xfId="0" applyNumberFormat="1" applyFill="1" applyBorder="1"/>
    <xf numFmtId="21" fontId="0" fillId="3" borderId="16" xfId="0" applyNumberFormat="1" applyFill="1" applyBorder="1"/>
    <xf numFmtId="21" fontId="8" fillId="3" borderId="18" xfId="0" applyNumberFormat="1" applyFont="1" applyFill="1" applyBorder="1"/>
    <xf numFmtId="21" fontId="0" fillId="0" borderId="0" xfId="0" applyNumberFormat="1"/>
    <xf numFmtId="21" fontId="12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1" fontId="2" fillId="0" borderId="0" xfId="0" applyNumberFormat="1" applyFont="1" applyAlignment="1">
      <alignment wrapText="1"/>
    </xf>
    <xf numFmtId="2" fontId="0" fillId="0" borderId="0" xfId="0" applyNumberFormat="1"/>
    <xf numFmtId="0" fontId="0" fillId="0" borderId="20" xfId="0" applyBorder="1"/>
    <xf numFmtId="49" fontId="0" fillId="0" borderId="0" xfId="0" applyNumberFormat="1" applyAlignment="1">
      <alignment horizontal="center" wrapText="1"/>
    </xf>
    <xf numFmtId="21" fontId="0" fillId="0" borderId="0" xfId="0" applyNumberFormat="1" applyAlignment="1">
      <alignment wrapText="1"/>
    </xf>
    <xf numFmtId="49" fontId="13" fillId="3" borderId="1" xfId="0" applyNumberFormat="1" applyFont="1" applyFill="1" applyBorder="1" applyAlignment="1">
      <alignment wrapText="1"/>
    </xf>
    <xf numFmtId="49" fontId="0" fillId="0" borderId="0" xfId="0" applyNumberFormat="1"/>
    <xf numFmtId="21" fontId="0" fillId="0" borderId="1" xfId="0" applyNumberFormat="1" applyBorder="1" applyAlignment="1">
      <alignment horizontal="center" vertical="center"/>
    </xf>
    <xf numFmtId="0" fontId="4" fillId="0" borderId="1" xfId="0" applyFont="1" applyBorder="1"/>
    <xf numFmtId="49" fontId="13" fillId="7" borderId="1" xfId="0" applyNumberFormat="1" applyFont="1" applyFill="1" applyBorder="1" applyAlignment="1">
      <alignment wrapText="1"/>
    </xf>
    <xf numFmtId="21" fontId="13" fillId="7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0" xfId="0"/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49" fontId="0" fillId="3" borderId="1" xfId="0" applyNumberForma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49" fontId="0" fillId="2" borderId="10" xfId="0" applyNumberFormat="1" applyFill="1" applyBorder="1" applyAlignment="1">
      <alignment horizontal="center" wrapText="1"/>
    </xf>
    <xf numFmtId="49" fontId="0" fillId="2" borderId="14" xfId="0" applyNumberFormat="1" applyFill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49" fontId="14" fillId="7" borderId="1" xfId="0" applyNumberFormat="1" applyFont="1" applyFill="1" applyBorder="1" applyAlignment="1">
      <alignment wrapText="1"/>
    </xf>
    <xf numFmtId="49" fontId="13" fillId="7" borderId="1" xfId="0" applyNumberFormat="1" applyFont="1" applyFill="1" applyBorder="1" applyAlignment="1">
      <alignment horizontal="center" wrapText="1"/>
    </xf>
  </cellXfs>
  <cellStyles count="3">
    <cellStyle name="Normal" xfId="0" builtinId="0"/>
    <cellStyle name="Обычный 2" xfId="2" xr:uid="{00000000-0005-0000-0000-000001000000}"/>
    <cellStyle name="Обычный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'Round 1'!$D$28</c:f>
              <c:strCache>
                <c:ptCount val="1"/>
                <c:pt idx="0">
                  <c:v>Cycle time per batch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hade val="51000"/>
                    <a:satMod val="130000"/>
                  </a:schemeClr>
                </a:gs>
                <a:gs pos="80000">
                  <a:schemeClr val="dk1">
                    <a:tint val="88500"/>
                    <a:shade val="93000"/>
                    <a:satMod val="130000"/>
                  </a:schemeClr>
                </a:gs>
                <a:gs pos="100000">
                  <a:schemeClr val="dk1">
                    <a:tint val="885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'Round 1'!$D$29:$D$36</c:f>
              <c:numCache>
                <c:formatCode>h:mm:ss</c:formatCode>
                <c:ptCount val="8"/>
                <c:pt idx="0">
                  <c:v>3.5798611111111107E-2</c:v>
                </c:pt>
                <c:pt idx="1">
                  <c:v>3.3888888888888885E-2</c:v>
                </c:pt>
                <c:pt idx="2">
                  <c:v>3.8084490740740738E-2</c:v>
                </c:pt>
                <c:pt idx="3">
                  <c:v>4.762152777777777E-2</c:v>
                </c:pt>
                <c:pt idx="4">
                  <c:v>6.2916666666666676E-2</c:v>
                </c:pt>
                <c:pt idx="5">
                  <c:v>7.5344328703703708E-2</c:v>
                </c:pt>
                <c:pt idx="6">
                  <c:v>8.5298032407407423E-2</c:v>
                </c:pt>
                <c:pt idx="7">
                  <c:v>9.7350501543209886E-2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C-4345-9E1D-58CD66706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2064768"/>
        <c:axId val="262136576"/>
      </c:barChart>
      <c:catAx>
        <c:axId val="262064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36576"/>
        <c:crosses val="autoZero"/>
        <c:auto val="1"/>
        <c:lblAlgn val="ctr"/>
        <c:lblOffset val="100"/>
        <c:noMultiLvlLbl val="0"/>
      </c:catAx>
      <c:valAx>
        <c:axId val="26213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6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'Round 1'!$J$28</c:f>
              <c:strCache>
                <c:ptCount val="1"/>
                <c:pt idx="0">
                  <c:v>Waiting time per batch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hade val="51000"/>
                    <a:satMod val="130000"/>
                  </a:schemeClr>
                </a:gs>
                <a:gs pos="80000">
                  <a:schemeClr val="dk1">
                    <a:tint val="88500"/>
                    <a:shade val="93000"/>
                    <a:satMod val="130000"/>
                  </a:schemeClr>
                </a:gs>
                <a:gs pos="100000">
                  <a:schemeClr val="dk1">
                    <a:tint val="885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'Round 1'!$J$29:$J$36</c:f>
              <c:numCache>
                <c:formatCode>h:mm:ss</c:formatCode>
                <c:ptCount val="8"/>
                <c:pt idx="0">
                  <c:v>1.1944444444444442E-2</c:v>
                </c:pt>
                <c:pt idx="1">
                  <c:v>1.8217592592592584E-2</c:v>
                </c:pt>
                <c:pt idx="2">
                  <c:v>1.4594907407407397E-2</c:v>
                </c:pt>
                <c:pt idx="3">
                  <c:v>2.9081147119341556E-2</c:v>
                </c:pt>
                <c:pt idx="4">
                  <c:v>3.6674382716049378E-2</c:v>
                </c:pt>
                <c:pt idx="5">
                  <c:v>5.1043274176954742E-2</c:v>
                </c:pt>
                <c:pt idx="6">
                  <c:v>6.8051054526748977E-2</c:v>
                </c:pt>
                <c:pt idx="7">
                  <c:v>7.9237782921810718E-2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F-0849-999B-F8DE65EEF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9479296"/>
        <c:axId val="269485184"/>
      </c:barChart>
      <c:catAx>
        <c:axId val="26947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85184"/>
        <c:crosses val="autoZero"/>
        <c:auto val="1"/>
        <c:lblAlgn val="ctr"/>
        <c:lblOffset val="100"/>
        <c:noMultiLvlLbl val="0"/>
      </c:catAx>
      <c:valAx>
        <c:axId val="26948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79296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'Round 1'!$D$41</c:f>
              <c:strCache>
                <c:ptCount val="1"/>
                <c:pt idx="0">
                  <c:v>Processing time per batch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hade val="51000"/>
                    <a:satMod val="130000"/>
                  </a:schemeClr>
                </a:gs>
                <a:gs pos="80000">
                  <a:schemeClr val="dk1">
                    <a:tint val="88500"/>
                    <a:shade val="93000"/>
                    <a:satMod val="130000"/>
                  </a:schemeClr>
                </a:gs>
                <a:gs pos="100000">
                  <a:schemeClr val="dk1">
                    <a:tint val="885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'Round 1'!$D$42:$D$49</c:f>
              <c:numCache>
                <c:formatCode>h:mm:ss</c:formatCode>
                <c:ptCount val="8"/>
                <c:pt idx="0">
                  <c:v>2.3854166666666666E-2</c:v>
                </c:pt>
                <c:pt idx="1">
                  <c:v>1.5671296296296301E-2</c:v>
                </c:pt>
                <c:pt idx="2">
                  <c:v>2.3489583333333341E-2</c:v>
                </c:pt>
                <c:pt idx="3">
                  <c:v>1.8540380658436214E-2</c:v>
                </c:pt>
                <c:pt idx="4">
                  <c:v>2.6242283950617295E-2</c:v>
                </c:pt>
                <c:pt idx="5">
                  <c:v>2.430105452674897E-2</c:v>
                </c:pt>
                <c:pt idx="6">
                  <c:v>1.7246977880658439E-2</c:v>
                </c:pt>
                <c:pt idx="7">
                  <c:v>1.8112718621399168E-2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5-5D47-B7F3-B8C6430B6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5489152"/>
        <c:axId val="275491072"/>
      </c:barChart>
      <c:catAx>
        <c:axId val="275489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91072"/>
        <c:crosses val="autoZero"/>
        <c:auto val="1"/>
        <c:lblAlgn val="ctr"/>
        <c:lblOffset val="100"/>
        <c:noMultiLvlLbl val="0"/>
      </c:catAx>
      <c:valAx>
        <c:axId val="27549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8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txPr>
        <a:bodyPr/>
        <a:lstStyle/>
        <a:p>
          <a:pPr>
            <a:defRPr sz="1200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'Round 1'!$J$41</c:f>
              <c:strCache>
                <c:ptCount val="1"/>
                <c:pt idx="0">
                  <c:v>Providing (available) time for staff / workplace</c:v>
                </c:pt>
              </c:strCache>
            </c:strRef>
          </c:tx>
          <c:invertIfNegative val="0"/>
          <c:cat>
            <c:strRef>
              <c:f>'Round 1'!$I$43:$I$48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Refining</c:v>
                </c:pt>
                <c:pt idx="4">
                  <c:v>Quality Check</c:v>
                </c:pt>
                <c:pt idx="5">
                  <c:v>Rework</c:v>
                </c:pt>
              </c:strCache>
            </c:strRef>
          </c:cat>
          <c:val>
            <c:numRef>
              <c:f>'Round 1'!$J$43:$J$48</c:f>
              <c:numCache>
                <c:formatCode>h:mm:ss</c:formatCode>
                <c:ptCount val="6"/>
                <c:pt idx="0">
                  <c:v>3.6817570546737219E-2</c:v>
                </c:pt>
                <c:pt idx="1">
                  <c:v>3.5257964065255741E-2</c:v>
                </c:pt>
                <c:pt idx="2">
                  <c:v>0</c:v>
                </c:pt>
                <c:pt idx="3">
                  <c:v>2.7892994929453269E-2</c:v>
                </c:pt>
                <c:pt idx="4">
                  <c:v>3.7272698045267477E-2</c:v>
                </c:pt>
                <c:pt idx="5">
                  <c:v>0.10834201388888891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8-2449-A02A-6F680E1EE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8219392"/>
        <c:axId val="259031808"/>
      </c:barChart>
      <c:catAx>
        <c:axId val="278219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9031808"/>
        <c:crosses val="autoZero"/>
        <c:auto val="1"/>
        <c:lblAlgn val="ctr"/>
        <c:lblOffset val="100"/>
        <c:noMultiLvlLbl val="0"/>
      </c:catAx>
      <c:valAx>
        <c:axId val="259031808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crossAx val="278219392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txPr>
        <a:bodyPr/>
        <a:lstStyle/>
        <a:p>
          <a:pPr>
            <a:defRPr sz="1200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'Round 1'!$P$28</c:f>
              <c:strCache>
                <c:ptCount val="1"/>
                <c:pt idx="0">
                  <c:v>Operation (or process) time per workplace</c:v>
                </c:pt>
              </c:strCache>
            </c:strRef>
          </c:tx>
          <c:invertIfNegative val="0"/>
          <c:cat>
            <c:strRef>
              <c:f>'Round 1'!$O$30:$O$35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Refining</c:v>
                </c:pt>
                <c:pt idx="4">
                  <c:v>Quality Check</c:v>
                </c:pt>
                <c:pt idx="5">
                  <c:v>Rework</c:v>
                </c:pt>
              </c:strCache>
            </c:strRef>
          </c:cat>
          <c:val>
            <c:numRef>
              <c:f>'Round 1'!$P$30:$P$35</c:f>
              <c:numCache>
                <c:formatCode>h:mm:ss</c:formatCode>
                <c:ptCount val="6"/>
                <c:pt idx="0">
                  <c:v>2.8539351851851847E-2</c:v>
                </c:pt>
                <c:pt idx="1">
                  <c:v>2.4959490740740747E-2</c:v>
                </c:pt>
                <c:pt idx="2">
                  <c:v>0</c:v>
                </c:pt>
                <c:pt idx="3">
                  <c:v>5.5555555555555601E-3</c:v>
                </c:pt>
                <c:pt idx="4">
                  <c:v>3.1856031378600817E-2</c:v>
                </c:pt>
                <c:pt idx="5">
                  <c:v>7.6548032407407429E-2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E-4A42-A1F2-E834AFEFA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987968"/>
        <c:axId val="241989504"/>
      </c:barChart>
      <c:catAx>
        <c:axId val="241987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1989504"/>
        <c:crosses val="autoZero"/>
        <c:auto val="1"/>
        <c:lblAlgn val="ctr"/>
        <c:lblOffset val="100"/>
        <c:noMultiLvlLbl val="0"/>
      </c:catAx>
      <c:valAx>
        <c:axId val="241989504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crossAx val="241987968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txPr>
        <a:bodyPr/>
        <a:lstStyle/>
        <a:p>
          <a:pPr>
            <a:defRPr sz="1200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'Round 1'!$P$41</c:f>
              <c:strCache>
                <c:ptCount val="1"/>
                <c:pt idx="0">
                  <c:v>Idle time per workplace</c:v>
                </c:pt>
              </c:strCache>
            </c:strRef>
          </c:tx>
          <c:invertIfNegative val="0"/>
          <c:cat>
            <c:strRef>
              <c:f>'Round 1'!$O$43:$O$48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Refining</c:v>
                </c:pt>
                <c:pt idx="4">
                  <c:v>Quality Check</c:v>
                </c:pt>
                <c:pt idx="5">
                  <c:v>Rework</c:v>
                </c:pt>
              </c:strCache>
            </c:strRef>
          </c:cat>
          <c:val>
            <c:numRef>
              <c:f>'Round 1'!$P$43:$P$48</c:f>
              <c:numCache>
                <c:formatCode>h:mm:ss</c:formatCode>
                <c:ptCount val="6"/>
                <c:pt idx="0">
                  <c:v>8.2782186948853718E-3</c:v>
                </c:pt>
                <c:pt idx="1">
                  <c:v>1.0298473324514994E-2</c:v>
                </c:pt>
                <c:pt idx="2">
                  <c:v>0</c:v>
                </c:pt>
                <c:pt idx="3">
                  <c:v>2.2337439373897709E-2</c:v>
                </c:pt>
                <c:pt idx="4">
                  <c:v>5.4166666666666599E-3</c:v>
                </c:pt>
                <c:pt idx="5">
                  <c:v>3.1793981481481479E-2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2-2B4E-B513-0EB40B9A2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916160"/>
        <c:axId val="261917696"/>
      </c:barChart>
      <c:catAx>
        <c:axId val="261916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1917696"/>
        <c:crosses val="autoZero"/>
        <c:auto val="1"/>
        <c:lblAlgn val="ctr"/>
        <c:lblOffset val="100"/>
        <c:noMultiLvlLbl val="0"/>
      </c:catAx>
      <c:valAx>
        <c:axId val="261917696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crossAx val="261916160"/>
        <c:crosses val="autoZero"/>
        <c:crossBetween val="between"/>
      </c:valAx>
      <c:spPr>
        <a:solidFill>
          <a:srgbClr val="9BBB59">
            <a:lumMod val="40000"/>
            <a:lumOff val="60000"/>
          </a:srgbClr>
        </a:solidFill>
      </c:spPr>
    </c:plotArea>
    <c:plotVisOnly val="1"/>
    <c:dispBlanksAs val="gap"/>
    <c:showDLblsOverMax val="0"/>
  </c:chart>
  <c:spPr>
    <a:solidFill>
      <a:srgbClr val="9BBB59">
        <a:lumMod val="40000"/>
        <a:lumOff val="60000"/>
      </a:srgbClr>
    </a:solid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188260</xdr:colOff>
      <xdr:row>25</xdr:row>
      <xdr:rowOff>171672</xdr:rowOff>
    </xdr:from>
    <xdr:to>
      <xdr:col>7</xdr:col>
      <xdr:colOff>448237</xdr:colOff>
      <xdr:row>36</xdr:row>
      <xdr:rowOff>170330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206188</xdr:colOff>
      <xdr:row>26</xdr:row>
      <xdr:rowOff>17929</xdr:rowOff>
    </xdr:from>
    <xdr:to>
      <xdr:col>13</xdr:col>
      <xdr:colOff>448235</xdr:colOff>
      <xdr:row>36</xdr:row>
      <xdr:rowOff>161365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188259</xdr:colOff>
      <xdr:row>38</xdr:row>
      <xdr:rowOff>170329</xdr:rowOff>
    </xdr:from>
    <xdr:to>
      <xdr:col>7</xdr:col>
      <xdr:colOff>475130</xdr:colOff>
      <xdr:row>49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197222</xdr:colOff>
      <xdr:row>38</xdr:row>
      <xdr:rowOff>174812</xdr:rowOff>
    </xdr:from>
    <xdr:to>
      <xdr:col>13</xdr:col>
      <xdr:colOff>493057</xdr:colOff>
      <xdr:row>49</xdr:row>
      <xdr:rowOff>8965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167640</xdr:colOff>
      <xdr:row>26</xdr:row>
      <xdr:rowOff>15240</xdr:rowOff>
    </xdr:from>
    <xdr:to>
      <xdr:col>19</xdr:col>
      <xdr:colOff>448235</xdr:colOff>
      <xdr:row>36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205740</xdr:colOff>
      <xdr:row>39</xdr:row>
      <xdr:rowOff>38100</xdr:rowOff>
    </xdr:from>
    <xdr:to>
      <xdr:col>19</xdr:col>
      <xdr:colOff>486335</xdr:colOff>
      <xdr:row>48</xdr:row>
      <xdr:rowOff>167640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I77"/>
  <sheetViews>
    <sheetView tabSelected="1" zoomScale="28" zoomScaleNormal="85" workbookViewId="0">
      <selection activeCell="N55" sqref="N55"/>
    </sheetView>
  </sheetViews>
  <sheetFormatPr defaultColWidth="11.59765625" defaultRowHeight="12.75" x14ac:dyDescent="0.35"/>
  <cols>
    <col min="1" max="1" width="8.73046875" customWidth="1"/>
    <col min="2" max="2" width="10.1328125" customWidth="1"/>
    <col min="5" max="5" width="15.3984375" customWidth="1"/>
    <col min="10" max="10" width="12.3984375" customWidth="1"/>
    <col min="13" max="13" width="10.796875" customWidth="1"/>
    <col min="16" max="16" width="15.6640625" bestFit="1" customWidth="1"/>
    <col min="31" max="31" width="12.796875" customWidth="1"/>
    <col min="32" max="32" width="12.9296875" style="1" customWidth="1"/>
    <col min="36" max="36" width="15.06640625" bestFit="1" customWidth="1"/>
    <col min="44" max="44" width="14.3984375" customWidth="1"/>
    <col min="45" max="45" width="18.59765625" customWidth="1"/>
    <col min="46" max="46" width="10.796875" customWidth="1"/>
    <col min="47" max="47" width="13.59765625" customWidth="1"/>
    <col min="50" max="50" width="12" customWidth="1"/>
    <col min="52" max="52" width="11.06640625" customWidth="1"/>
    <col min="53" max="53" width="20.9296875" customWidth="1"/>
  </cols>
  <sheetData>
    <row r="3" spans="1:61" x14ac:dyDescent="0.35">
      <c r="AV3" s="118" t="s">
        <v>0</v>
      </c>
      <c r="AW3" s="118"/>
      <c r="AX3" s="115" t="s">
        <v>1</v>
      </c>
      <c r="AY3" s="100" t="s">
        <v>2</v>
      </c>
      <c r="AZ3" s="100"/>
      <c r="BA3" s="100"/>
      <c r="BB3" s="100"/>
      <c r="BE3" t="s">
        <v>3</v>
      </c>
    </row>
    <row r="4" spans="1:61" x14ac:dyDescent="0.35">
      <c r="AV4" s="2" t="s">
        <v>4</v>
      </c>
      <c r="AW4" s="3" t="s">
        <v>5</v>
      </c>
      <c r="AX4" s="115"/>
      <c r="AY4" s="3" t="s">
        <v>6</v>
      </c>
      <c r="AZ4" s="3" t="s">
        <v>7</v>
      </c>
      <c r="BA4" s="3" t="s">
        <v>8</v>
      </c>
      <c r="BB4" s="3" t="s">
        <v>9</v>
      </c>
    </row>
    <row r="5" spans="1:61" x14ac:dyDescent="0.35">
      <c r="AV5" s="4">
        <v>0.67</v>
      </c>
      <c r="AW5" s="5">
        <v>0.33</v>
      </c>
      <c r="AX5" s="4">
        <v>8</v>
      </c>
      <c r="AY5" s="6">
        <v>0.03</v>
      </c>
      <c r="AZ5" s="6">
        <v>0.02</v>
      </c>
      <c r="BA5" s="6">
        <v>0.01</v>
      </c>
      <c r="BB5" s="6">
        <v>0.01</v>
      </c>
    </row>
    <row r="6" spans="1:61" x14ac:dyDescent="0.35">
      <c r="AX6" s="7" t="s">
        <v>10</v>
      </c>
      <c r="AY6" s="4">
        <f>AY5/60</f>
        <v>5.0000000000000001E-4</v>
      </c>
      <c r="AZ6" s="4">
        <f>AZ5/60</f>
        <v>3.3333333333333332E-4</v>
      </c>
      <c r="BA6" s="4">
        <f>BA5/60</f>
        <v>1.6666666666666666E-4</v>
      </c>
      <c r="BB6" s="4">
        <f>BB5/60</f>
        <v>1.6666666666666666E-4</v>
      </c>
    </row>
    <row r="7" spans="1:61" ht="13.15" customHeight="1" x14ac:dyDescent="0.35"/>
    <row r="8" spans="1:61" ht="13.15" customHeight="1" x14ac:dyDescent="0.35"/>
    <row r="9" spans="1:61" ht="13.15" customHeight="1" x14ac:dyDescent="0.35">
      <c r="AU9" s="8"/>
    </row>
    <row r="10" spans="1:61" ht="13.15" customHeight="1" thickBot="1" x14ac:dyDescent="0.4">
      <c r="AR10" s="9"/>
      <c r="AS10" s="10"/>
      <c r="AT10" s="10"/>
      <c r="AU10" s="10"/>
      <c r="AV10" s="11"/>
      <c r="AW10" s="12"/>
      <c r="AX10" s="10"/>
      <c r="AY10" s="10"/>
      <c r="AZ10" s="13"/>
      <c r="BA10" s="11" t="s">
        <v>11</v>
      </c>
      <c r="BB10" s="11"/>
      <c r="BC10" s="11"/>
      <c r="BD10" t="s">
        <v>12</v>
      </c>
      <c r="BF10" t="s">
        <v>13</v>
      </c>
    </row>
    <row r="11" spans="1:61" ht="26.45" customHeight="1" x14ac:dyDescent="0.4">
      <c r="A11" s="116" t="s">
        <v>14</v>
      </c>
      <c r="B11" s="119" t="s">
        <v>15</v>
      </c>
      <c r="C11" s="120" t="s">
        <v>11</v>
      </c>
      <c r="D11" s="121"/>
      <c r="E11" s="121"/>
      <c r="F11" s="121"/>
      <c r="G11" s="121"/>
      <c r="H11" s="121"/>
      <c r="I11" s="121"/>
      <c r="J11" s="122"/>
      <c r="K11" s="123" t="s">
        <v>73</v>
      </c>
      <c r="L11" s="124"/>
      <c r="M11" s="124"/>
      <c r="N11" s="124"/>
      <c r="O11" s="124"/>
      <c r="P11" s="124"/>
      <c r="Q11" s="124"/>
      <c r="R11" s="125"/>
      <c r="S11" s="126" t="s">
        <v>13</v>
      </c>
      <c r="T11" s="127"/>
      <c r="U11" s="127"/>
      <c r="V11" s="127"/>
      <c r="W11" s="127"/>
      <c r="X11" s="127"/>
      <c r="Y11" s="127"/>
      <c r="Z11" s="128"/>
      <c r="AA11" s="123" t="s">
        <v>16</v>
      </c>
      <c r="AB11" s="124"/>
      <c r="AC11" s="124"/>
      <c r="AD11" s="124"/>
      <c r="AE11" s="124"/>
      <c r="AF11" s="124"/>
      <c r="AG11" s="125"/>
      <c r="AH11" s="123" t="s">
        <v>17</v>
      </c>
      <c r="AI11" s="124"/>
      <c r="AJ11" s="124"/>
      <c r="AK11" s="124"/>
      <c r="AL11" s="124"/>
      <c r="AM11" s="129" t="s">
        <v>18</v>
      </c>
      <c r="AN11" s="130"/>
      <c r="AO11" s="130"/>
      <c r="AP11" s="130"/>
      <c r="AQ11" s="131"/>
      <c r="AR11" s="132" t="s">
        <v>19</v>
      </c>
      <c r="AS11" s="134" t="s">
        <v>20</v>
      </c>
      <c r="AT11" s="109" t="s">
        <v>21</v>
      </c>
      <c r="AU11" s="111" t="s">
        <v>22</v>
      </c>
      <c r="AV11" s="105" t="s">
        <v>23</v>
      </c>
      <c r="AW11" s="106" t="s">
        <v>24</v>
      </c>
      <c r="AX11" s="105" t="s">
        <v>25</v>
      </c>
      <c r="AY11" s="107" t="s">
        <v>26</v>
      </c>
      <c r="AZ11" s="105" t="s">
        <v>27</v>
      </c>
      <c r="BA11" s="116" t="s">
        <v>28</v>
      </c>
      <c r="BB11" s="104" t="s">
        <v>29</v>
      </c>
      <c r="BC11" s="104" t="s">
        <v>30</v>
      </c>
      <c r="BD11" s="105" t="s">
        <v>31</v>
      </c>
      <c r="BE11" s="115" t="s">
        <v>32</v>
      </c>
      <c r="BF11" s="116" t="s">
        <v>33</v>
      </c>
      <c r="BG11" s="117" t="s">
        <v>34</v>
      </c>
      <c r="BH11" s="105" t="s">
        <v>35</v>
      </c>
      <c r="BI11" s="105" t="s">
        <v>36</v>
      </c>
    </row>
    <row r="12" spans="1:61" s="11" customFormat="1" ht="91.9" x14ac:dyDescent="0.35">
      <c r="A12" s="116"/>
      <c r="B12" s="119"/>
      <c r="C12" s="14" t="s">
        <v>37</v>
      </c>
      <c r="D12" s="15" t="s">
        <v>38</v>
      </c>
      <c r="E12" s="15" t="s">
        <v>39</v>
      </c>
      <c r="F12" s="15" t="s">
        <v>40</v>
      </c>
      <c r="G12" s="15" t="s">
        <v>41</v>
      </c>
      <c r="H12" s="16" t="s">
        <v>42</v>
      </c>
      <c r="I12" s="15" t="s">
        <v>43</v>
      </c>
      <c r="J12" s="17" t="s">
        <v>44</v>
      </c>
      <c r="K12" s="14" t="s">
        <v>37</v>
      </c>
      <c r="L12" s="15" t="s">
        <v>38</v>
      </c>
      <c r="M12" s="15" t="s">
        <v>45</v>
      </c>
      <c r="N12" s="15" t="s">
        <v>40</v>
      </c>
      <c r="O12" s="15" t="s">
        <v>41</v>
      </c>
      <c r="P12" s="16" t="s">
        <v>42</v>
      </c>
      <c r="Q12" s="15" t="s">
        <v>43</v>
      </c>
      <c r="R12" s="17" t="s">
        <v>44</v>
      </c>
      <c r="S12" s="14" t="s">
        <v>37</v>
      </c>
      <c r="T12" s="15" t="s">
        <v>38</v>
      </c>
      <c r="U12" s="15" t="s">
        <v>45</v>
      </c>
      <c r="V12" s="15" t="s">
        <v>40</v>
      </c>
      <c r="W12" s="15" t="s">
        <v>41</v>
      </c>
      <c r="X12" s="16" t="s">
        <v>42</v>
      </c>
      <c r="Y12" s="15" t="s">
        <v>43</v>
      </c>
      <c r="Z12" s="17" t="s">
        <v>44</v>
      </c>
      <c r="AA12" s="14" t="s">
        <v>46</v>
      </c>
      <c r="AB12" s="15" t="s">
        <v>21</v>
      </c>
      <c r="AC12" s="15" t="s">
        <v>47</v>
      </c>
      <c r="AD12" s="15" t="s">
        <v>48</v>
      </c>
      <c r="AE12" s="15" t="s">
        <v>49</v>
      </c>
      <c r="AF12" s="15" t="s">
        <v>50</v>
      </c>
      <c r="AG12" s="18" t="s">
        <v>42</v>
      </c>
      <c r="AH12" s="14" t="s">
        <v>47</v>
      </c>
      <c r="AI12" s="15" t="s">
        <v>48</v>
      </c>
      <c r="AJ12" s="15" t="s">
        <v>49</v>
      </c>
      <c r="AK12" s="19" t="s">
        <v>42</v>
      </c>
      <c r="AL12" s="20" t="s">
        <v>44</v>
      </c>
      <c r="AM12" s="21" t="s">
        <v>51</v>
      </c>
      <c r="AN12" s="22" t="s">
        <v>48</v>
      </c>
      <c r="AO12" s="22" t="s">
        <v>49</v>
      </c>
      <c r="AP12" s="19" t="s">
        <v>42</v>
      </c>
      <c r="AQ12" s="23" t="s">
        <v>44</v>
      </c>
      <c r="AR12" s="133"/>
      <c r="AS12" s="135"/>
      <c r="AT12" s="110"/>
      <c r="AU12" s="112"/>
      <c r="AV12" s="105"/>
      <c r="AW12" s="106"/>
      <c r="AX12" s="105"/>
      <c r="AY12" s="108"/>
      <c r="AZ12" s="105"/>
      <c r="BA12" s="116"/>
      <c r="BB12" s="104"/>
      <c r="BC12" s="104"/>
      <c r="BD12" s="105"/>
      <c r="BE12" s="115"/>
      <c r="BF12" s="116"/>
      <c r="BG12" s="117"/>
      <c r="BH12" s="105"/>
      <c r="BI12" s="105"/>
    </row>
    <row r="13" spans="1:61" ht="14.25" x14ac:dyDescent="0.45">
      <c r="A13" s="6">
        <v>1</v>
      </c>
      <c r="B13" s="24">
        <v>4</v>
      </c>
      <c r="C13" s="25">
        <v>4.0509259259259258E-4</v>
      </c>
      <c r="D13" s="26">
        <f>F13-C13</f>
        <v>1.0648148148148149E-3</v>
      </c>
      <c r="E13" s="26">
        <f>C14-G13</f>
        <v>2.4305555555555625E-4</v>
      </c>
      <c r="F13" s="27">
        <v>1.4699074074074074E-3</v>
      </c>
      <c r="G13" s="27">
        <v>5.7870370370370367E-3</v>
      </c>
      <c r="H13" s="28">
        <f>G13-F13</f>
        <v>4.3171296296296291E-3</v>
      </c>
      <c r="I13" s="26">
        <f>G13-C13</f>
        <v>5.3819444444444444E-3</v>
      </c>
      <c r="J13" s="29">
        <f>H13/B13</f>
        <v>1.0792824074074073E-3</v>
      </c>
      <c r="K13" s="30">
        <v>5.9375000000000001E-3</v>
      </c>
      <c r="L13" s="31">
        <f>N13-K13</f>
        <v>7.2916666666666703E-4</v>
      </c>
      <c r="M13" s="31">
        <f>K14-O13</f>
        <v>1.5972222222222221E-3</v>
      </c>
      <c r="N13" s="32">
        <v>6.6666666666666671E-3</v>
      </c>
      <c r="O13" s="27">
        <v>9.4097222222222221E-3</v>
      </c>
      <c r="P13" s="28">
        <f t="shared" ref="P13:P20" si="0">O13-N13</f>
        <v>2.743055555555555E-3</v>
      </c>
      <c r="Q13" s="31">
        <f>O13-K13</f>
        <v>3.472222222222222E-3</v>
      </c>
      <c r="R13" s="33">
        <f>P13/B13</f>
        <v>6.8576388888888875E-4</v>
      </c>
      <c r="S13" s="25">
        <v>9.6643518518518511E-3</v>
      </c>
      <c r="T13" s="34">
        <f>V13-S13</f>
        <v>5.8101851851851856E-3</v>
      </c>
      <c r="U13" s="34">
        <f>S14-W13</f>
        <v>-1.0185185185185193E-3</v>
      </c>
      <c r="V13" s="27">
        <v>1.5474537037037037E-2</v>
      </c>
      <c r="W13" s="27">
        <v>1.6168981481481482E-2</v>
      </c>
      <c r="X13" s="28">
        <f>W13-V13</f>
        <v>6.9444444444444545E-4</v>
      </c>
      <c r="Y13" s="26">
        <f>W13-S13</f>
        <v>6.504629629629631E-3</v>
      </c>
      <c r="Z13" s="29">
        <f>X13/B13</f>
        <v>1.7361111111111136E-4</v>
      </c>
      <c r="AA13" s="25">
        <v>9.6643518518518511E-3</v>
      </c>
      <c r="AB13" s="31"/>
      <c r="AC13" s="35">
        <f>AA13-O13</f>
        <v>2.5462962962962896E-4</v>
      </c>
      <c r="AD13" s="27">
        <v>1.5474537037037037E-2</v>
      </c>
      <c r="AE13" s="31">
        <v>1.6168981481481482E-2</v>
      </c>
      <c r="AF13" s="36" t="s">
        <v>52</v>
      </c>
      <c r="AG13" s="37">
        <f>AE13-AD13</f>
        <v>6.9444444444444545E-4</v>
      </c>
      <c r="AH13" s="30">
        <f>AI13-AE13</f>
        <v>7.8703703703703748E-4</v>
      </c>
      <c r="AI13" s="31">
        <v>1.695601851851852E-2</v>
      </c>
      <c r="AJ13" s="31">
        <v>2.0104166666666666E-2</v>
      </c>
      <c r="AK13" s="38">
        <f t="shared" ref="AK13:AK20" si="1">AJ13-AI13</f>
        <v>3.1481481481481464E-3</v>
      </c>
      <c r="AL13" s="39">
        <f>AK13/B13</f>
        <v>7.8703703703703661E-4</v>
      </c>
      <c r="AM13" s="30">
        <f>AN13-AJ13</f>
        <v>3.1481481481481464E-3</v>
      </c>
      <c r="AN13" s="31">
        <v>2.3252314814814812E-2</v>
      </c>
      <c r="AO13" s="31">
        <v>3.6203703703703703E-2</v>
      </c>
      <c r="AP13" s="38">
        <f>AO13-AN13</f>
        <v>1.2951388888888891E-2</v>
      </c>
      <c r="AQ13" s="40">
        <f>AP13/B13</f>
        <v>3.2378472222222227E-3</v>
      </c>
      <c r="AR13" s="41">
        <f>AO13-C13</f>
        <v>3.5798611111111107E-2</v>
      </c>
      <c r="AS13" s="26">
        <f t="shared" ref="AS13:AS18" si="2">AP13+AK13+AG13+P13+H13</f>
        <v>2.3854166666666666E-2</v>
      </c>
      <c r="AT13" s="26">
        <f>AR13-AS13</f>
        <v>1.1944444444444442E-2</v>
      </c>
      <c r="AU13" s="42">
        <f>(AS13-AG13)/B13+AG13</f>
        <v>6.4843750000000006E-3</v>
      </c>
      <c r="AV13" s="26">
        <f t="shared" ref="AV13:AV17" si="3">AP13+AK13+AG13+Q13+I13</f>
        <v>2.5648148148148149E-2</v>
      </c>
      <c r="AW13" s="26">
        <f>((AV13-AG13)/B13)+AG13</f>
        <v>6.9328703703703714E-3</v>
      </c>
      <c r="AX13" s="43">
        <f>((HOUR(AU13)*60)+MINUTE(AU13)+(SECOND(AU13)/60))*$AV$5</f>
        <v>6.2533333333333339</v>
      </c>
      <c r="AY13" s="43">
        <f>((HOUR(AW13)*60)+MINUTE(AW13)+(SECOND(AW13)/60))*$AW$5</f>
        <v>3.2944999999999998</v>
      </c>
      <c r="AZ13" s="6">
        <v>1</v>
      </c>
      <c r="BA13" s="26">
        <f>AO13-F13</f>
        <v>3.4733796296296297E-2</v>
      </c>
      <c r="BB13" s="43">
        <f>$AY$6*((HOUR(BA13)*60)+MINUTE(BA13)+(SECOND(BA13)/60))</f>
        <v>2.5008333333333334E-2</v>
      </c>
      <c r="BC13" s="43">
        <f>((HOUR(BA13)*60)+MINUTE(BA13)+(SECOND(BA13)/60))*$AZ$6</f>
        <v>1.667222222222222E-2</v>
      </c>
      <c r="BD13" s="26">
        <f>AO13-N13</f>
        <v>2.9537037037037035E-2</v>
      </c>
      <c r="BE13" s="44">
        <f>$BA$6*((HOUR(BD13)*60)+MINUTE(BD13)+(SECOND(BD13)/60))</f>
        <v>7.0888888888888885E-3</v>
      </c>
      <c r="BF13" s="26">
        <f>AO13-V13</f>
        <v>2.0729166666666667E-2</v>
      </c>
      <c r="BG13" s="44">
        <f>((HOUR(BF13)*60)+MINUTE(BF13)+(SECOND(BF13)/60))*$BB$6</f>
        <v>4.9750000000000003E-3</v>
      </c>
      <c r="BH13" s="43">
        <f>AX13+AY13+AZ13+BB13+BC13+BE13+BG13</f>
        <v>10.601577777777779</v>
      </c>
      <c r="BI13" s="43">
        <f>BH13*B13</f>
        <v>42.406311111111116</v>
      </c>
    </row>
    <row r="14" spans="1:61" ht="14.25" x14ac:dyDescent="0.45">
      <c r="A14" s="6">
        <v>2</v>
      </c>
      <c r="B14" s="24">
        <v>4</v>
      </c>
      <c r="C14" s="25">
        <v>6.030092592592593E-3</v>
      </c>
      <c r="D14" s="26">
        <f t="shared" ref="D14:D17" si="4">F14-C14</f>
        <v>1.2847222222222218E-3</v>
      </c>
      <c r="E14" s="26">
        <f>C15-G14</f>
        <v>1.8518518518518406E-4</v>
      </c>
      <c r="F14" s="45">
        <v>7.3148148148148148E-3</v>
      </c>
      <c r="G14" s="45">
        <v>1.0787037037037038E-2</v>
      </c>
      <c r="H14" s="28">
        <f>G14-F14</f>
        <v>3.4722222222222229E-3</v>
      </c>
      <c r="I14" s="26">
        <f t="shared" ref="I14:I20" si="5">G14-C14</f>
        <v>4.7569444444444447E-3</v>
      </c>
      <c r="J14" s="29">
        <f>H14/B14</f>
        <v>8.6805555555555572E-4</v>
      </c>
      <c r="K14" s="30">
        <v>1.1006944444444444E-2</v>
      </c>
      <c r="L14" s="31">
        <f t="shared" ref="L14:L16" si="6">N14-K14</f>
        <v>1.1458333333333338E-3</v>
      </c>
      <c r="M14" s="31">
        <f t="shared" ref="M14:M15" si="7">K15-O14</f>
        <v>1.2037037037037034E-3</v>
      </c>
      <c r="N14" s="27">
        <v>1.2152777777777778E-2</v>
      </c>
      <c r="O14" s="27">
        <v>1.4814814814814815E-2</v>
      </c>
      <c r="P14" s="28">
        <f t="shared" si="0"/>
        <v>2.6620370370370374E-3</v>
      </c>
      <c r="Q14" s="31">
        <f t="shared" ref="Q14:Q15" si="8">O14-K14</f>
        <v>3.8078703703703712E-3</v>
      </c>
      <c r="R14" s="33">
        <f t="shared" ref="R14:R15" si="9">P14/B14</f>
        <v>6.6550925925925935E-4</v>
      </c>
      <c r="S14" s="25">
        <v>1.5150462962962963E-2</v>
      </c>
      <c r="T14" s="34">
        <f t="shared" ref="T14:T16" si="10">V14-S14</f>
        <v>3.2407407407407385E-4</v>
      </c>
      <c r="U14" s="34">
        <f t="shared" ref="U14:U16" si="11">S15-W14</f>
        <v>4.733796296296295E-3</v>
      </c>
      <c r="V14" s="27">
        <v>1.5474537037037037E-2</v>
      </c>
      <c r="W14" s="27">
        <v>1.6168981481481482E-2</v>
      </c>
      <c r="X14" s="28">
        <f>W14-V14</f>
        <v>6.9444444444444545E-4</v>
      </c>
      <c r="Y14" s="26">
        <f t="shared" ref="Y14:Y16" si="12">W14-S14</f>
        <v>1.0185185185185193E-3</v>
      </c>
      <c r="Z14" s="29">
        <f t="shared" ref="Z14" si="13">X14/B14</f>
        <v>1.7361111111111136E-4</v>
      </c>
      <c r="AA14" s="25">
        <v>1.5150462962962963E-2</v>
      </c>
      <c r="AB14" s="31">
        <f>AD14-AA14</f>
        <v>3.2407407407407385E-4</v>
      </c>
      <c r="AC14" s="35">
        <f t="shared" ref="AC14:AC20" si="14">AA14-O14</f>
        <v>3.3564814814814742E-4</v>
      </c>
      <c r="AD14" s="27">
        <v>1.5474537037037037E-2</v>
      </c>
      <c r="AE14" s="31">
        <v>1.6168981481481482E-2</v>
      </c>
      <c r="AF14" s="36" t="s">
        <v>52</v>
      </c>
      <c r="AG14" s="37">
        <f t="shared" ref="AG14:AG15" si="15">AE14-AD14</f>
        <v>6.9444444444444545E-4</v>
      </c>
      <c r="AH14" s="30"/>
      <c r="AI14" s="31">
        <v>2.0243055555555556E-2</v>
      </c>
      <c r="AJ14" s="46">
        <v>2.5486111111111112E-2</v>
      </c>
      <c r="AK14" s="38">
        <f t="shared" si="1"/>
        <v>5.2430555555555564E-3</v>
      </c>
      <c r="AL14" s="39">
        <f t="shared" ref="AL14:AL19" si="16">AK14/B14</f>
        <v>1.3107638888888891E-3</v>
      </c>
      <c r="AM14" s="30">
        <f>AN14-AJ14</f>
        <v>1.0833333333333327E-2</v>
      </c>
      <c r="AN14" s="31">
        <v>3.6319444444444439E-2</v>
      </c>
      <c r="AO14" s="31">
        <v>3.9918981481481479E-2</v>
      </c>
      <c r="AP14" s="38">
        <f t="shared" ref="AP14" si="17">AO14-AN14</f>
        <v>3.59953703703704E-3</v>
      </c>
      <c r="AQ14" s="40">
        <f t="shared" ref="AQ14:AQ20" si="18">AP14/B14</f>
        <v>8.9988425925925999E-4</v>
      </c>
      <c r="AR14" s="41">
        <f>AO14-C14</f>
        <v>3.3888888888888885E-2</v>
      </c>
      <c r="AS14" s="26">
        <f t="shared" si="2"/>
        <v>1.5671296296296301E-2</v>
      </c>
      <c r="AT14" s="26">
        <f>AR14-AS14</f>
        <v>1.8217592592592584E-2</v>
      </c>
      <c r="AU14" s="42">
        <f t="shared" ref="AU14:AU20" si="19">(AS14-AG14)/B14+AG14</f>
        <v>4.4386574074074094E-3</v>
      </c>
      <c r="AV14" s="26">
        <f t="shared" si="3"/>
        <v>1.8101851851851859E-2</v>
      </c>
      <c r="AW14" s="26">
        <f>((AV14-AG14)/B14)+AG14</f>
        <v>5.0462962962962987E-3</v>
      </c>
      <c r="AX14" s="43">
        <f t="shared" ref="AX14:AX20" si="20">((HOUR(AU14)*60)+MINUTE(AU14)+(SECOND(AU14)/60))*$AV$5</f>
        <v>4.2880000000000003</v>
      </c>
      <c r="AY14" s="43">
        <f>((HOUR(AW14)*60)+MINUTE(AW14)+(SECOND(AW14)/60))*$AW$5</f>
        <v>2.3980000000000001</v>
      </c>
      <c r="AZ14" s="6">
        <v>1</v>
      </c>
      <c r="BA14" s="26">
        <f t="shared" ref="BA14:BA20" si="21">AO14-F14</f>
        <v>3.2604166666666663E-2</v>
      </c>
      <c r="BB14" s="43">
        <f t="shared" ref="BB14:BB20" si="22">$AY$6*((HOUR(BA14)*60)+MINUTE(BA14)+(SECOND(BA14)/60))</f>
        <v>2.3475000000000003E-2</v>
      </c>
      <c r="BC14" s="43">
        <f t="shared" ref="BC14:BC20" si="23">((HOUR(BA14)*60)+MINUTE(BA14)+(SECOND(BA14)/60))*$AZ$6</f>
        <v>1.5650000000000001E-2</v>
      </c>
      <c r="BD14" s="26">
        <f t="shared" ref="BD14:BD20" si="24">AO14-N14</f>
        <v>2.7766203703703703E-2</v>
      </c>
      <c r="BE14" s="44">
        <f t="shared" ref="BE14:BE19" si="25">$BA$6*((HOUR(BD14)*60)+MINUTE(BD14)+(SECOND(BD14)/60))</f>
        <v>6.6638888888888885E-3</v>
      </c>
      <c r="BF14" s="26">
        <f t="shared" ref="BF14:BF20" si="26">AO14-V14</f>
        <v>2.4444444444444442E-2</v>
      </c>
      <c r="BG14" s="44">
        <f t="shared" ref="BG14:BG20" si="27">((HOUR(BF14)*60)+MINUTE(BF14)+(SECOND(BF14)/60))*$BB$6</f>
        <v>5.8666666666666667E-3</v>
      </c>
      <c r="BH14" s="43">
        <f t="shared" ref="BH14:BH20" si="28">AX14+AY14+AZ14+BB14+BC14+BE14+BG14</f>
        <v>7.7376555555555564</v>
      </c>
      <c r="BI14" s="43">
        <f t="shared" ref="BI14:BI20" si="29">BH14*B14</f>
        <v>30.950622222222226</v>
      </c>
    </row>
    <row r="15" spans="1:61" ht="14.25" x14ac:dyDescent="0.45">
      <c r="A15" s="6">
        <v>3</v>
      </c>
      <c r="B15" s="24">
        <v>6</v>
      </c>
      <c r="C15" s="47">
        <v>1.0972222222222222E-2</v>
      </c>
      <c r="D15" s="26">
        <f t="shared" si="4"/>
        <v>9.7222222222222328E-4</v>
      </c>
      <c r="E15" s="26">
        <f t="shared" ref="E15" si="30">C16-G15</f>
        <v>8.449074074074088E-4</v>
      </c>
      <c r="F15" s="27">
        <v>1.1944444444444445E-2</v>
      </c>
      <c r="G15" s="45">
        <v>1.5856481481481482E-2</v>
      </c>
      <c r="H15" s="28">
        <f t="shared" ref="H15:H19" si="31">G15-F15</f>
        <v>3.9120370370370368E-3</v>
      </c>
      <c r="I15" s="26">
        <f t="shared" si="5"/>
        <v>4.8842592592592601E-3</v>
      </c>
      <c r="J15" s="29">
        <f>H15/B15</f>
        <v>6.5200617283950617E-4</v>
      </c>
      <c r="K15" s="30">
        <v>1.6018518518518519E-2</v>
      </c>
      <c r="L15" s="31">
        <f t="shared" si="6"/>
        <v>1.2962962962962954E-3</v>
      </c>
      <c r="M15" s="31">
        <f t="shared" si="7"/>
        <v>3.5879629629629456E-4</v>
      </c>
      <c r="N15" s="27">
        <v>1.7314814814814814E-2</v>
      </c>
      <c r="O15" s="27">
        <v>2.0543981481481483E-2</v>
      </c>
      <c r="P15" s="28">
        <f t="shared" si="0"/>
        <v>3.2291666666666684E-3</v>
      </c>
      <c r="Q15" s="31">
        <f t="shared" si="8"/>
        <v>4.5254629629629638E-3</v>
      </c>
      <c r="R15" s="33">
        <f t="shared" si="9"/>
        <v>5.3819444444444477E-4</v>
      </c>
      <c r="S15" s="25">
        <v>2.0902777777777777E-2</v>
      </c>
      <c r="T15" s="34">
        <f t="shared" si="10"/>
        <v>4.3055555555555555E-3</v>
      </c>
      <c r="U15" s="34">
        <f t="shared" si="11"/>
        <v>5.6944444444444429E-3</v>
      </c>
      <c r="V15" s="27">
        <v>2.5208333333333333E-2</v>
      </c>
      <c r="W15" s="27">
        <v>2.5902777777777778E-2</v>
      </c>
      <c r="X15" s="28">
        <f t="shared" ref="X15:X16" si="32">W15-V15</f>
        <v>6.9444444444444545E-4</v>
      </c>
      <c r="Y15" s="26">
        <f t="shared" si="12"/>
        <v>5.000000000000001E-3</v>
      </c>
      <c r="Z15" s="29">
        <f>X15/B15</f>
        <v>1.1574074074074091E-4</v>
      </c>
      <c r="AA15" s="25">
        <v>2.0902777777777777E-2</v>
      </c>
      <c r="AB15" s="31"/>
      <c r="AC15" s="35">
        <f t="shared" si="14"/>
        <v>3.5879629629629456E-4</v>
      </c>
      <c r="AD15" s="27">
        <v>2.5208333333333333E-2</v>
      </c>
      <c r="AE15" s="31">
        <v>2.5902777777777778E-2</v>
      </c>
      <c r="AF15" s="36" t="s">
        <v>53</v>
      </c>
      <c r="AG15" s="37">
        <f t="shared" si="15"/>
        <v>6.9444444444444545E-4</v>
      </c>
      <c r="AH15" s="30">
        <f>AI15-AE15</f>
        <v>5.0925925925925791E-4</v>
      </c>
      <c r="AI15" s="31">
        <v>2.6412037037037036E-2</v>
      </c>
      <c r="AJ15" s="31">
        <v>2.9652777777777778E-2</v>
      </c>
      <c r="AK15" s="38">
        <f t="shared" si="1"/>
        <v>3.2407407407407419E-3</v>
      </c>
      <c r="AL15" s="39">
        <f t="shared" si="16"/>
        <v>5.4012345679012362E-4</v>
      </c>
      <c r="AM15" s="30">
        <f>AN15-AJ15</f>
        <v>6.9907407407407349E-3</v>
      </c>
      <c r="AN15" s="48">
        <f>AJ15+$AM$24</f>
        <v>3.6643518518518513E-2</v>
      </c>
      <c r="AO15" s="48">
        <f>AN15+(AQ24*B15)</f>
        <v>4.9056712962962962E-2</v>
      </c>
      <c r="AP15" s="38">
        <f>AO15-AN15</f>
        <v>1.2413194444444449E-2</v>
      </c>
      <c r="AQ15" s="40">
        <f t="shared" si="18"/>
        <v>2.0688657407407413E-3</v>
      </c>
      <c r="AR15" s="41">
        <f t="shared" ref="AR15:AR20" si="33">AO15-C15</f>
        <v>3.8084490740740738E-2</v>
      </c>
      <c r="AS15" s="26">
        <f t="shared" si="2"/>
        <v>2.3489583333333341E-2</v>
      </c>
      <c r="AT15" s="26">
        <f t="shared" ref="AT15:AT19" si="34">AR15-AS15</f>
        <v>1.4594907407407397E-2</v>
      </c>
      <c r="AU15" s="42">
        <f t="shared" si="19"/>
        <v>4.4936342592592615E-3</v>
      </c>
      <c r="AV15" s="26">
        <f t="shared" si="3"/>
        <v>2.5758101851851858E-2</v>
      </c>
      <c r="AW15" s="26">
        <f t="shared" ref="AW15:AW20" si="35">((AV15-AG15)/B15)+AG15</f>
        <v>4.8717206790123476E-3</v>
      </c>
      <c r="AX15" s="43">
        <f t="shared" si="20"/>
        <v>4.3326666666666673</v>
      </c>
      <c r="AY15" s="43">
        <f t="shared" ref="AY15:AY20" si="36">((HOUR(AW15)*60)+MINUTE(AW15)+(SECOND(AW15)/60))*$AW$5</f>
        <v>2.3155000000000001</v>
      </c>
      <c r="AZ15" s="6">
        <v>1</v>
      </c>
      <c r="BA15" s="26">
        <f t="shared" si="21"/>
        <v>3.7112268518518517E-2</v>
      </c>
      <c r="BB15" s="43">
        <f t="shared" si="22"/>
        <v>2.6725000000000002E-2</v>
      </c>
      <c r="BC15" s="43">
        <f t="shared" si="23"/>
        <v>1.7816666666666668E-2</v>
      </c>
      <c r="BD15" s="26">
        <f t="shared" si="24"/>
        <v>3.1741898148148151E-2</v>
      </c>
      <c r="BE15" s="44">
        <f t="shared" si="25"/>
        <v>7.6194444444444443E-3</v>
      </c>
      <c r="BF15" s="26">
        <f t="shared" si="26"/>
        <v>2.3848379629629629E-2</v>
      </c>
      <c r="BG15" s="44">
        <f t="shared" si="27"/>
        <v>5.7250000000000001E-3</v>
      </c>
      <c r="BH15" s="43">
        <f t="shared" si="28"/>
        <v>7.7060527777777788</v>
      </c>
      <c r="BI15" s="43">
        <f t="shared" si="29"/>
        <v>46.236316666666674</v>
      </c>
    </row>
    <row r="16" spans="1:61" ht="14.25" x14ac:dyDescent="0.45">
      <c r="A16" s="6">
        <v>4</v>
      </c>
      <c r="B16" s="24">
        <v>4</v>
      </c>
      <c r="C16" s="25">
        <v>1.6701388888888891E-2</v>
      </c>
      <c r="D16" s="26">
        <f t="shared" si="4"/>
        <v>2.3148148148147141E-5</v>
      </c>
      <c r="E16" s="26">
        <f>C17-G16</f>
        <v>3.9351851851851874E-4</v>
      </c>
      <c r="F16" s="27">
        <v>1.6724537037037038E-2</v>
      </c>
      <c r="G16" s="45">
        <v>2.0416666666666666E-2</v>
      </c>
      <c r="H16" s="28">
        <f t="shared" si="31"/>
        <v>3.6921296296296285E-3</v>
      </c>
      <c r="I16" s="26">
        <f t="shared" si="5"/>
        <v>3.7152777777777757E-3</v>
      </c>
      <c r="J16" s="29">
        <f>H16/B16</f>
        <v>9.2303240740740713E-4</v>
      </c>
      <c r="K16" s="30">
        <v>2.0902777777777777E-2</v>
      </c>
      <c r="L16" s="31">
        <f t="shared" si="6"/>
        <v>1.2847222222222218E-3</v>
      </c>
      <c r="M16" s="31">
        <f>K17-O16</f>
        <v>1.3310185185185196E-3</v>
      </c>
      <c r="N16" s="27">
        <v>2.2187499999999999E-2</v>
      </c>
      <c r="O16" s="27">
        <v>2.4548611111111111E-2</v>
      </c>
      <c r="P16" s="28">
        <f t="shared" si="0"/>
        <v>2.3611111111111124E-3</v>
      </c>
      <c r="Q16" s="31">
        <f>O16-K16</f>
        <v>3.6458333333333343E-3</v>
      </c>
      <c r="R16" s="33">
        <f>P16/B16</f>
        <v>5.9027777777777811E-4</v>
      </c>
      <c r="S16" s="25">
        <v>3.1597222222222221E-2</v>
      </c>
      <c r="T16" s="34">
        <f t="shared" si="10"/>
        <v>-6.3888888888888884E-3</v>
      </c>
      <c r="U16" s="34">
        <f t="shared" si="11"/>
        <v>8.7962962962962986E-3</v>
      </c>
      <c r="V16" s="27">
        <v>2.5208333333333333E-2</v>
      </c>
      <c r="W16" s="27">
        <v>2.5902777777777778E-2</v>
      </c>
      <c r="X16" s="28">
        <f t="shared" si="32"/>
        <v>6.9444444444444545E-4</v>
      </c>
      <c r="Y16" s="26">
        <f t="shared" si="12"/>
        <v>-5.6944444444444429E-3</v>
      </c>
      <c r="Z16" s="29">
        <f>X16/B16</f>
        <v>1.7361111111111136E-4</v>
      </c>
      <c r="AA16" s="25">
        <v>2.480324074074074E-2</v>
      </c>
      <c r="AB16" s="31">
        <f>AD16-AA16</f>
        <v>4.0509259259259231E-4</v>
      </c>
      <c r="AC16" s="35">
        <f t="shared" si="14"/>
        <v>2.5462962962962896E-4</v>
      </c>
      <c r="AD16" s="27">
        <v>2.5208333333333333E-2</v>
      </c>
      <c r="AE16" s="31">
        <v>2.5902777777777778E-2</v>
      </c>
      <c r="AF16" s="36" t="s">
        <v>53</v>
      </c>
      <c r="AG16" s="37">
        <f>AE16-AD16</f>
        <v>6.9444444444444545E-4</v>
      </c>
      <c r="AH16" s="30"/>
      <c r="AI16" s="49">
        <v>3.335648148148148E-2</v>
      </c>
      <c r="AJ16" s="50">
        <f>AI16+($AL$24*B16)</f>
        <v>3.6873713991769544E-2</v>
      </c>
      <c r="AK16" s="38">
        <f t="shared" si="1"/>
        <v>3.5172325102880639E-3</v>
      </c>
      <c r="AL16" s="39">
        <f t="shared" si="16"/>
        <v>8.7930812757201597E-4</v>
      </c>
      <c r="AM16" s="30">
        <f>AN16-AJ16</f>
        <v>1.9173739711934153E-2</v>
      </c>
      <c r="AN16" s="48">
        <f>AO15+$AM$24</f>
        <v>5.6047453703703697E-2</v>
      </c>
      <c r="AO16" s="48">
        <f>AN16+(AQ24*B16)</f>
        <v>6.432291666666666E-2</v>
      </c>
      <c r="AP16" s="38">
        <f>AO16-AN16</f>
        <v>8.2754629629629636E-3</v>
      </c>
      <c r="AQ16" s="40">
        <f t="shared" si="18"/>
        <v>2.0688657407407409E-3</v>
      </c>
      <c r="AR16" s="41">
        <f>AO16-C16</f>
        <v>4.762152777777777E-2</v>
      </c>
      <c r="AS16" s="26">
        <f t="shared" si="2"/>
        <v>1.8540380658436214E-2</v>
      </c>
      <c r="AT16" s="26">
        <f t="shared" si="34"/>
        <v>2.9081147119341556E-2</v>
      </c>
      <c r="AU16" s="42">
        <f t="shared" si="19"/>
        <v>5.1559284979423876E-3</v>
      </c>
      <c r="AV16" s="26">
        <f t="shared" si="3"/>
        <v>1.9848251028806583E-2</v>
      </c>
      <c r="AW16" s="26">
        <f t="shared" si="35"/>
        <v>5.4828960905349798E-3</v>
      </c>
      <c r="AX16" s="43">
        <f>((HOUR(AU16)*60)+MINUTE(AU16)+(SECOND(AU16)/60))*$AV$5</f>
        <v>4.9691666666666672</v>
      </c>
      <c r="AY16" s="43">
        <f t="shared" si="36"/>
        <v>2.6070000000000002</v>
      </c>
      <c r="AZ16" s="6">
        <v>1</v>
      </c>
      <c r="BA16" s="26">
        <f t="shared" si="21"/>
        <v>4.7598379629629622E-2</v>
      </c>
      <c r="BB16" s="43">
        <f t="shared" si="22"/>
        <v>3.4266666666666667E-2</v>
      </c>
      <c r="BC16" s="43">
        <f t="shared" si="23"/>
        <v>2.2844444444444442E-2</v>
      </c>
      <c r="BD16" s="26">
        <f t="shared" si="24"/>
        <v>4.2135416666666661E-2</v>
      </c>
      <c r="BE16" s="44">
        <f t="shared" si="25"/>
        <v>1.0113888888888888E-2</v>
      </c>
      <c r="BF16" s="26">
        <f t="shared" si="26"/>
        <v>3.9114583333333328E-2</v>
      </c>
      <c r="BG16" s="44">
        <f t="shared" si="27"/>
        <v>9.3888888888888893E-3</v>
      </c>
      <c r="BH16" s="43">
        <f t="shared" si="28"/>
        <v>8.652780555555557</v>
      </c>
      <c r="BI16" s="43">
        <f t="shared" si="29"/>
        <v>34.611122222222228</v>
      </c>
    </row>
    <row r="17" spans="1:61" ht="14.25" x14ac:dyDescent="0.45">
      <c r="A17" s="6">
        <v>5</v>
      </c>
      <c r="B17" s="24">
        <v>6</v>
      </c>
      <c r="C17" s="25">
        <v>2.0810185185185185E-2</v>
      </c>
      <c r="D17" s="26">
        <f t="shared" si="4"/>
        <v>9.490740740740744E-4</v>
      </c>
      <c r="E17" s="26">
        <f>C18-G17</f>
        <v>2.314814814815061E-5</v>
      </c>
      <c r="F17" s="27">
        <v>2.1759259259259259E-2</v>
      </c>
      <c r="G17" s="45">
        <v>2.5694444444444443E-2</v>
      </c>
      <c r="H17" s="28">
        <f t="shared" si="31"/>
        <v>3.9351851851851839E-3</v>
      </c>
      <c r="I17" s="26">
        <f t="shared" si="5"/>
        <v>4.8842592592592583E-3</v>
      </c>
      <c r="J17" s="29">
        <f>H17/B17</f>
        <v>6.5586419753086399E-4</v>
      </c>
      <c r="K17" s="30">
        <v>2.5879629629629631E-2</v>
      </c>
      <c r="L17" s="31">
        <f>N17-K17</f>
        <v>1.2037037037037034E-3</v>
      </c>
      <c r="M17" s="31">
        <f>K18-O17</f>
        <v>6.2499999999999709E-4</v>
      </c>
      <c r="N17" s="27">
        <v>2.7083333333333334E-2</v>
      </c>
      <c r="O17" s="27">
        <v>3.1006944444444445E-2</v>
      </c>
      <c r="P17" s="28">
        <f t="shared" si="0"/>
        <v>3.9236111111111104E-3</v>
      </c>
      <c r="Q17" s="49">
        <f>O17-K17</f>
        <v>5.1273148148148137E-3</v>
      </c>
      <c r="R17" s="51">
        <f t="shared" ref="R17:R19" si="37">P17/B17</f>
        <v>6.5393518518518502E-4</v>
      </c>
      <c r="S17" s="52">
        <v>3.4699074074074077E-2</v>
      </c>
      <c r="T17" s="34">
        <f>V17-S17</f>
        <v>-2.6620370370370391E-3</v>
      </c>
      <c r="U17" s="34" t="e">
        <f>S18-W17</f>
        <v>#VALUE!</v>
      </c>
      <c r="V17" s="27">
        <v>3.2037037037037037E-2</v>
      </c>
      <c r="W17" s="27">
        <v>3.2731481481481479E-2</v>
      </c>
      <c r="X17" s="53">
        <f>W17-V17</f>
        <v>6.9444444444444198E-4</v>
      </c>
      <c r="Y17" s="34">
        <f>W17-S17</f>
        <v>-1.9675925925925972E-3</v>
      </c>
      <c r="Z17" s="54">
        <f t="shared" ref="Z17:Z20" si="38">X17/B17</f>
        <v>1.1574074074074033E-4</v>
      </c>
      <c r="AA17" s="52">
        <v>3.1597222222222221E-2</v>
      </c>
      <c r="AB17" s="31">
        <f>AD17-AA17</f>
        <v>4.3981481481481649E-4</v>
      </c>
      <c r="AC17" s="35">
        <f t="shared" si="14"/>
        <v>5.9027777777777637E-4</v>
      </c>
      <c r="AD17" s="27">
        <v>3.2037037037037037E-2</v>
      </c>
      <c r="AE17" s="31">
        <v>3.2731481481481479E-2</v>
      </c>
      <c r="AF17" s="36" t="s">
        <v>54</v>
      </c>
      <c r="AG17" s="37">
        <v>6.9444444444444447E-4</v>
      </c>
      <c r="AH17" s="30">
        <f>AI17-AE17</f>
        <v>4.7903806584362121E-3</v>
      </c>
      <c r="AI17" s="50">
        <f>AJ16+AH24</f>
        <v>3.7521862139917692E-2</v>
      </c>
      <c r="AJ17" s="50">
        <f>AI17+($AL$24*B17)</f>
        <v>4.2797710905349791E-2</v>
      </c>
      <c r="AK17" s="38">
        <f t="shared" si="1"/>
        <v>5.2758487654320993E-3</v>
      </c>
      <c r="AL17" s="39">
        <f>AK17/B17</f>
        <v>8.7930812757201651E-4</v>
      </c>
      <c r="AM17" s="30">
        <f t="shared" ref="AM17:AM19" si="39">AN17-AJ17</f>
        <v>2.8515946502057611E-2</v>
      </c>
      <c r="AN17" s="48">
        <f>AO16+$AM$24</f>
        <v>7.1313657407407402E-2</v>
      </c>
      <c r="AO17" s="48">
        <f>AN17+(AQ24*B17)</f>
        <v>8.3726851851851858E-2</v>
      </c>
      <c r="AP17" s="38">
        <f t="shared" ref="AP17:AP20" si="40">AO17-AN17</f>
        <v>1.2413194444444456E-2</v>
      </c>
      <c r="AQ17" s="40">
        <f>AP17/B17</f>
        <v>2.0688657407407426E-3</v>
      </c>
      <c r="AR17" s="41">
        <f t="shared" si="33"/>
        <v>6.2916666666666676E-2</v>
      </c>
      <c r="AS17" s="26">
        <f t="shared" si="2"/>
        <v>2.6242283950617295E-2</v>
      </c>
      <c r="AT17" s="26">
        <f t="shared" si="34"/>
        <v>3.6674382716049378E-2</v>
      </c>
      <c r="AU17" s="42">
        <f t="shared" si="19"/>
        <v>4.9524176954732525E-3</v>
      </c>
      <c r="AV17" s="26">
        <f t="shared" si="3"/>
        <v>2.8395061728395073E-2</v>
      </c>
      <c r="AW17" s="26">
        <f t="shared" si="35"/>
        <v>5.3112139917695488E-3</v>
      </c>
      <c r="AX17" s="43">
        <f t="shared" si="20"/>
        <v>4.7793333333333337</v>
      </c>
      <c r="AY17" s="43">
        <f>((HOUR(AW17)*60)+MINUTE(AW17)+(SECOND(AW17)/60))*$AW$5</f>
        <v>2.5245000000000002</v>
      </c>
      <c r="AZ17" s="6">
        <v>1</v>
      </c>
      <c r="BA17" s="26">
        <f t="shared" si="21"/>
        <v>6.1967592592592602E-2</v>
      </c>
      <c r="BB17" s="43">
        <f t="shared" si="22"/>
        <v>4.4616666666666666E-2</v>
      </c>
      <c r="BC17" s="43">
        <f t="shared" si="23"/>
        <v>2.9744444444444445E-2</v>
      </c>
      <c r="BD17" s="26">
        <f t="shared" si="24"/>
        <v>5.6643518518518524E-2</v>
      </c>
      <c r="BE17" s="44">
        <f t="shared" si="25"/>
        <v>1.3594444444444444E-2</v>
      </c>
      <c r="BF17" s="26">
        <f t="shared" si="26"/>
        <v>5.168981481481482E-2</v>
      </c>
      <c r="BG17" s="44">
        <f t="shared" si="27"/>
        <v>1.2405555555555555E-2</v>
      </c>
      <c r="BH17" s="43">
        <f t="shared" si="28"/>
        <v>8.4041944444444443</v>
      </c>
      <c r="BI17" s="43">
        <f t="shared" si="29"/>
        <v>50.425166666666669</v>
      </c>
    </row>
    <row r="18" spans="1:61" ht="14.25" x14ac:dyDescent="0.45">
      <c r="A18" s="6">
        <v>6</v>
      </c>
      <c r="B18" s="24">
        <v>5</v>
      </c>
      <c r="C18" s="25">
        <v>2.5717592592592594E-2</v>
      </c>
      <c r="D18" s="26">
        <f>F18-C18</f>
        <v>1.3657407407407403E-3</v>
      </c>
      <c r="E18" s="26">
        <f>C19-G18</f>
        <v>1.6203703703703692E-4</v>
      </c>
      <c r="F18" s="45">
        <v>2.7083333333333334E-2</v>
      </c>
      <c r="G18" s="45">
        <v>3.0868055555555555E-2</v>
      </c>
      <c r="H18" s="28">
        <f>G18-F18</f>
        <v>3.7847222222222206E-3</v>
      </c>
      <c r="I18" s="26">
        <f t="shared" si="5"/>
        <v>5.1504629629629609E-3</v>
      </c>
      <c r="J18" s="29">
        <f t="shared" ref="J18:J19" si="41">H18/B18</f>
        <v>7.5694444444444409E-4</v>
      </c>
      <c r="K18" s="55">
        <v>3.1631944444444442E-2</v>
      </c>
      <c r="L18" s="31">
        <f>N18-K18</f>
        <v>5.9027777777777984E-4</v>
      </c>
      <c r="M18" s="31"/>
      <c r="N18" s="27">
        <v>3.2222222222222222E-2</v>
      </c>
      <c r="O18" s="27">
        <v>3.7303240740740741E-2</v>
      </c>
      <c r="P18" s="28">
        <f t="shared" si="0"/>
        <v>5.0810185185185194E-3</v>
      </c>
      <c r="Q18" s="49">
        <f>O18-K18</f>
        <v>5.6712962962962993E-3</v>
      </c>
      <c r="R18" s="51">
        <f t="shared" si="37"/>
        <v>1.0162037037037038E-3</v>
      </c>
      <c r="S18" s="52" t="s">
        <v>72</v>
      </c>
      <c r="T18" s="34" t="e">
        <f>V18-S18</f>
        <v>#VALUE!</v>
      </c>
      <c r="U18" s="6"/>
      <c r="V18" s="34">
        <v>3.9560185185185184E-2</v>
      </c>
      <c r="W18" s="56">
        <f>V18+($Z$24*B18)</f>
        <v>4.0312500000000001E-2</v>
      </c>
      <c r="X18" s="57">
        <f>W18-V18</f>
        <v>7.5231481481481677E-4</v>
      </c>
      <c r="Y18" s="56" t="e">
        <f t="shared" ref="Y18:Y20" si="42">W18-S18</f>
        <v>#VALUE!</v>
      </c>
      <c r="Z18" s="58">
        <f t="shared" si="38"/>
        <v>1.5046296296296335E-4</v>
      </c>
      <c r="AA18" s="59">
        <f>W18+AC24</f>
        <v>4.0671296296296296E-2</v>
      </c>
      <c r="AB18" s="48"/>
      <c r="AC18" s="35">
        <f t="shared" si="14"/>
        <v>3.3680555555555547E-3</v>
      </c>
      <c r="AD18" s="34">
        <v>3.9560185185185184E-2</v>
      </c>
      <c r="AE18" s="31">
        <f>AD18+AG18</f>
        <v>4.0254629629629626E-2</v>
      </c>
      <c r="AF18" s="36" t="s">
        <v>55</v>
      </c>
      <c r="AG18" s="37">
        <v>6.9444444444444447E-4</v>
      </c>
      <c r="AH18" s="30">
        <f>AI18-AE18</f>
        <v>2.5430812757201646E-3</v>
      </c>
      <c r="AI18" s="50">
        <f>AJ17+AH25</f>
        <v>4.2797710905349791E-2</v>
      </c>
      <c r="AJ18" s="50">
        <f>AI18+($AL$24*B18)</f>
        <v>4.7194251543209872E-2</v>
      </c>
      <c r="AK18" s="38">
        <f t="shared" si="1"/>
        <v>4.3965406378600816E-3</v>
      </c>
      <c r="AL18" s="39">
        <f t="shared" si="16"/>
        <v>8.793081275720163E-4</v>
      </c>
      <c r="AM18" s="30">
        <f t="shared" si="39"/>
        <v>4.3523341049382727E-2</v>
      </c>
      <c r="AN18" s="48">
        <f>AO17+$AM$24</f>
        <v>9.07175925925926E-2</v>
      </c>
      <c r="AO18" s="48">
        <f>AN18+(AQ24*B18)</f>
        <v>0.10106192129629631</v>
      </c>
      <c r="AP18" s="38">
        <f>AO18-AN18</f>
        <v>1.0344328703703706E-2</v>
      </c>
      <c r="AQ18" s="40">
        <f t="shared" si="18"/>
        <v>2.0688657407407413E-3</v>
      </c>
      <c r="AR18" s="41">
        <f t="shared" si="33"/>
        <v>7.5344328703703708E-2</v>
      </c>
      <c r="AS18" s="26">
        <f t="shared" si="2"/>
        <v>2.430105452674897E-2</v>
      </c>
      <c r="AT18" s="26">
        <f t="shared" si="34"/>
        <v>5.1043274176954742E-2</v>
      </c>
      <c r="AU18" s="42">
        <f t="shared" si="19"/>
        <v>5.4157664609053493E-3</v>
      </c>
      <c r="AV18" s="26">
        <f>AP18+AK18+AG18+Q18+I18</f>
        <v>2.625707304526749E-2</v>
      </c>
      <c r="AW18" s="26">
        <f t="shared" si="35"/>
        <v>5.8069701646090537E-3</v>
      </c>
      <c r="AX18" s="43">
        <f t="shared" si="20"/>
        <v>5.226</v>
      </c>
      <c r="AY18" s="43">
        <f t="shared" si="36"/>
        <v>2.7610000000000001</v>
      </c>
      <c r="AZ18" s="6">
        <v>1</v>
      </c>
      <c r="BA18" s="26">
        <f t="shared" si="21"/>
        <v>7.3978587962962972E-2</v>
      </c>
      <c r="BB18" s="43">
        <f t="shared" si="22"/>
        <v>5.3266666666666664E-2</v>
      </c>
      <c r="BC18" s="43">
        <f t="shared" si="23"/>
        <v>3.5511111111111111E-2</v>
      </c>
      <c r="BD18" s="26">
        <f t="shared" si="24"/>
        <v>6.8839699074074084E-2</v>
      </c>
      <c r="BE18" s="44">
        <f t="shared" si="25"/>
        <v>1.6522222222222223E-2</v>
      </c>
      <c r="BF18" s="26">
        <f t="shared" si="26"/>
        <v>6.1501736111111122E-2</v>
      </c>
      <c r="BG18" s="44">
        <f t="shared" si="27"/>
        <v>1.476111111111111E-2</v>
      </c>
      <c r="BH18" s="43">
        <f t="shared" si="28"/>
        <v>9.107061111111113</v>
      </c>
      <c r="BI18" s="43">
        <f t="shared" si="29"/>
        <v>45.535305555555567</v>
      </c>
    </row>
    <row r="19" spans="1:61" ht="14.25" x14ac:dyDescent="0.45">
      <c r="A19" s="6">
        <v>7</v>
      </c>
      <c r="B19" s="24">
        <v>4</v>
      </c>
      <c r="C19" s="52">
        <v>3.1030092592592592E-2</v>
      </c>
      <c r="D19" s="34">
        <f>F19-C19</f>
        <v>6.2500000000000402E-4</v>
      </c>
      <c r="E19" s="60"/>
      <c r="F19" s="45">
        <v>3.1655092592592596E-2</v>
      </c>
      <c r="G19" s="45">
        <v>3.3935185185185186E-2</v>
      </c>
      <c r="H19" s="28">
        <f t="shared" si="31"/>
        <v>2.2800925925925905E-3</v>
      </c>
      <c r="I19" s="26">
        <f t="shared" si="5"/>
        <v>2.9050925925925945E-3</v>
      </c>
      <c r="J19" s="29">
        <f t="shared" si="41"/>
        <v>5.7002314814814763E-4</v>
      </c>
      <c r="K19" s="59">
        <f>G19+K24</f>
        <v>3.4050925925925929E-2</v>
      </c>
      <c r="L19" s="61"/>
      <c r="M19" s="61"/>
      <c r="N19" s="48">
        <f>K19+L24</f>
        <v>3.5092592592592599E-2</v>
      </c>
      <c r="O19" s="48">
        <f>N19+(B19*R24)</f>
        <v>3.7572337962962971E-2</v>
      </c>
      <c r="P19" s="57">
        <f t="shared" si="0"/>
        <v>2.4797453703703717E-3</v>
      </c>
      <c r="Q19" s="48">
        <f t="shared" ref="Q19" si="43">O19-K19</f>
        <v>3.5214120370370416E-3</v>
      </c>
      <c r="R19" s="62">
        <f t="shared" si="37"/>
        <v>6.1993634259259293E-4</v>
      </c>
      <c r="S19" s="63">
        <f>S24+O19</f>
        <v>3.7688078703703713E-2</v>
      </c>
      <c r="T19" s="6"/>
      <c r="U19" s="6"/>
      <c r="V19" s="56" t="e">
        <f>S19+T24</f>
        <v>#VALUE!</v>
      </c>
      <c r="W19" s="56" t="e">
        <f>V19+($Z$24*B19)</f>
        <v>#VALUE!</v>
      </c>
      <c r="X19" s="57" t="e">
        <f>W19-V19</f>
        <v>#VALUE!</v>
      </c>
      <c r="Y19" s="56" t="e">
        <f t="shared" si="42"/>
        <v>#VALUE!</v>
      </c>
      <c r="Z19" s="58" t="e">
        <f>X19/B19</f>
        <v>#VALUE!</v>
      </c>
      <c r="AA19" s="59">
        <f>O19+AC24</f>
        <v>3.7931134259259265E-2</v>
      </c>
      <c r="AB19" s="48"/>
      <c r="AC19" s="35">
        <f t="shared" si="14"/>
        <v>3.5879629629629456E-4</v>
      </c>
      <c r="AD19" s="50">
        <f>AA19+AB24</f>
        <v>3.8320794753086425E-2</v>
      </c>
      <c r="AE19" s="31">
        <f t="shared" ref="AE19" si="44">AD19+AG19</f>
        <v>3.9015239197530867E-2</v>
      </c>
      <c r="AF19" s="36" t="s">
        <v>56</v>
      </c>
      <c r="AG19" s="37">
        <v>6.9444444444444447E-4</v>
      </c>
      <c r="AH19" s="30"/>
      <c r="AI19" s="50">
        <f>AJ18+AH26</f>
        <v>4.7194251543209872E-2</v>
      </c>
      <c r="AJ19" s="50">
        <f>AI19+(AL24*B19)</f>
        <v>5.0711484053497936E-2</v>
      </c>
      <c r="AK19" s="38">
        <f t="shared" si="1"/>
        <v>3.5172325102880639E-3</v>
      </c>
      <c r="AL19" s="39">
        <f t="shared" si="16"/>
        <v>8.7930812757201597E-4</v>
      </c>
      <c r="AM19" s="30">
        <f t="shared" si="39"/>
        <v>5.7341177983539111E-2</v>
      </c>
      <c r="AN19" s="48">
        <f>AO18+$AM$24</f>
        <v>0.10805266203703705</v>
      </c>
      <c r="AO19" s="48">
        <f>AN19+(AQ24*B19)</f>
        <v>0.11632812500000002</v>
      </c>
      <c r="AP19" s="38">
        <f t="shared" si="40"/>
        <v>8.2754629629629706E-3</v>
      </c>
      <c r="AQ19" s="40">
        <f t="shared" si="18"/>
        <v>2.0688657407407426E-3</v>
      </c>
      <c r="AR19" s="41">
        <f t="shared" si="33"/>
        <v>8.5298032407407423E-2</v>
      </c>
      <c r="AS19" s="26">
        <f>AP19+AK19+AG19+P19+H19</f>
        <v>1.7246977880658439E-2</v>
      </c>
      <c r="AT19" s="26">
        <f t="shared" si="34"/>
        <v>6.8051054526748977E-2</v>
      </c>
      <c r="AU19" s="42">
        <f t="shared" si="19"/>
        <v>4.8325778034979429E-3</v>
      </c>
      <c r="AV19" s="26">
        <f t="shared" ref="AV19:AV20" si="45">AP19+AK19+AG19+Q19+I19</f>
        <v>1.8913644547325113E-2</v>
      </c>
      <c r="AW19" s="26">
        <f t="shared" si="35"/>
        <v>5.2492444701646114E-3</v>
      </c>
      <c r="AX19" s="43">
        <f t="shared" si="20"/>
        <v>4.6676666666666673</v>
      </c>
      <c r="AY19" s="43">
        <f t="shared" si="36"/>
        <v>2.4969999999999999</v>
      </c>
      <c r="AZ19" s="6">
        <v>1</v>
      </c>
      <c r="BA19" s="26">
        <f t="shared" si="21"/>
        <v>8.4673032407407423E-2</v>
      </c>
      <c r="BB19" s="43">
        <f t="shared" si="22"/>
        <v>6.0966666666666669E-2</v>
      </c>
      <c r="BC19" s="43">
        <f t="shared" si="23"/>
        <v>4.0644444444444441E-2</v>
      </c>
      <c r="BD19" s="26">
        <f t="shared" si="24"/>
        <v>8.1235532407407413E-2</v>
      </c>
      <c r="BE19" s="44">
        <f t="shared" si="25"/>
        <v>1.9497222222222221E-2</v>
      </c>
      <c r="BF19" s="26" t="e">
        <f t="shared" si="26"/>
        <v>#VALUE!</v>
      </c>
      <c r="BG19" s="44" t="e">
        <f t="shared" si="27"/>
        <v>#VALUE!</v>
      </c>
      <c r="BH19" s="43" t="e">
        <f t="shared" si="28"/>
        <v>#VALUE!</v>
      </c>
      <c r="BI19" s="43" t="e">
        <f t="shared" si="29"/>
        <v>#VALUE!</v>
      </c>
    </row>
    <row r="20" spans="1:61" ht="13.15" thickBot="1" x14ac:dyDescent="0.4">
      <c r="A20" s="6">
        <v>8</v>
      </c>
      <c r="B20" s="24">
        <v>4</v>
      </c>
      <c r="C20" s="64">
        <f>G19+E24</f>
        <v>3.4243827160493831E-2</v>
      </c>
      <c r="D20" s="65"/>
      <c r="E20" s="65"/>
      <c r="F20" s="66">
        <f>C20+D24</f>
        <v>3.5141644620811291E-2</v>
      </c>
      <c r="G20" s="66">
        <f>F20+(J24*B20)</f>
        <v>3.8287477954144625E-2</v>
      </c>
      <c r="H20" s="67">
        <f>J24*B20</f>
        <v>3.1458333333333325E-3</v>
      </c>
      <c r="I20" s="68">
        <f t="shared" si="5"/>
        <v>4.0436507936507937E-3</v>
      </c>
      <c r="J20" s="69">
        <f>H20/B20</f>
        <v>7.8645833333333313E-4</v>
      </c>
      <c r="K20" s="70">
        <f>G20+K24</f>
        <v>3.8403218694885367E-2</v>
      </c>
      <c r="L20" s="71"/>
      <c r="M20" s="71"/>
      <c r="N20" s="72">
        <f>K20+L24</f>
        <v>3.9444885361552037E-2</v>
      </c>
      <c r="O20" s="72">
        <f>N20+(B20*R24)</f>
        <v>4.1924630731922409E-2</v>
      </c>
      <c r="P20" s="67">
        <f t="shared" si="0"/>
        <v>2.4797453703703717E-3</v>
      </c>
      <c r="Q20" s="72">
        <f>O20-K20</f>
        <v>3.5214120370370416E-3</v>
      </c>
      <c r="R20" s="73">
        <f>P20/B20</f>
        <v>6.1993634259259293E-4</v>
      </c>
      <c r="S20" s="74">
        <f>S24+O20</f>
        <v>4.2040371472663152E-2</v>
      </c>
      <c r="T20" s="75"/>
      <c r="U20" s="75"/>
      <c r="V20" s="68" t="e">
        <f>S20+T24</f>
        <v>#VALUE!</v>
      </c>
      <c r="W20" s="56" t="e">
        <f>V20+($Z$24*B20)</f>
        <v>#VALUE!</v>
      </c>
      <c r="X20" s="57" t="e">
        <f>W20-V20</f>
        <v>#VALUE!</v>
      </c>
      <c r="Y20" s="56" t="e">
        <f t="shared" si="42"/>
        <v>#VALUE!</v>
      </c>
      <c r="Z20" s="69" t="e">
        <f t="shared" si="38"/>
        <v>#VALUE!</v>
      </c>
      <c r="AA20" s="59">
        <f>O20+AC25</f>
        <v>4.2283427028218704E-2</v>
      </c>
      <c r="AB20" s="72"/>
      <c r="AC20" s="35">
        <f t="shared" si="14"/>
        <v>3.5879629629629456E-4</v>
      </c>
      <c r="AD20" s="76">
        <f>AA20+AB24</f>
        <v>4.2673087522045863E-2</v>
      </c>
      <c r="AE20" s="77">
        <f>AD20+AG20</f>
        <v>4.3367531966490305E-2</v>
      </c>
      <c r="AF20" s="78" t="s">
        <v>56</v>
      </c>
      <c r="AG20" s="79">
        <v>6.9444444444444447E-4</v>
      </c>
      <c r="AH20" s="30">
        <f>AI20-AE20</f>
        <v>7.3439520870076311E-3</v>
      </c>
      <c r="AI20" s="50">
        <f>AJ19+AH27</f>
        <v>5.0711484053497936E-2</v>
      </c>
      <c r="AJ20" s="50">
        <f>AI20+($AL$24*B20)</f>
        <v>5.4228716563786E-2</v>
      </c>
      <c r="AK20" s="80">
        <f t="shared" si="1"/>
        <v>3.5172325102880639E-3</v>
      </c>
      <c r="AL20" s="81">
        <f>AK20/B20</f>
        <v>8.7930812757201597E-4</v>
      </c>
      <c r="AM20" s="82">
        <f>AN20-AJ20</f>
        <v>6.909014917695476E-2</v>
      </c>
      <c r="AN20" s="72">
        <f>AO19+$AM$24</f>
        <v>0.12331886574074076</v>
      </c>
      <c r="AO20" s="72">
        <f>AN20+(AQ24*B20)</f>
        <v>0.13159432870370372</v>
      </c>
      <c r="AP20" s="80">
        <f t="shared" si="40"/>
        <v>8.2754629629629567E-3</v>
      </c>
      <c r="AQ20" s="83">
        <f t="shared" si="18"/>
        <v>2.0688657407407392E-3</v>
      </c>
      <c r="AR20" s="41">
        <f t="shared" si="33"/>
        <v>9.7350501543209886E-2</v>
      </c>
      <c r="AS20" s="26">
        <f>AP20+AK20+AG20+P20+H20</f>
        <v>1.8112718621399168E-2</v>
      </c>
      <c r="AT20" s="26">
        <f>AR20-AS20</f>
        <v>7.9237782921810718E-2</v>
      </c>
      <c r="AU20" s="42">
        <f t="shared" si="19"/>
        <v>5.0490129886831252E-3</v>
      </c>
      <c r="AV20" s="26">
        <f t="shared" si="45"/>
        <v>2.0052202748383298E-2</v>
      </c>
      <c r="AW20" s="26">
        <f t="shared" si="35"/>
        <v>5.5338840204291577E-3</v>
      </c>
      <c r="AX20" s="43">
        <f t="shared" si="20"/>
        <v>4.8686666666666669</v>
      </c>
      <c r="AY20" s="43">
        <f t="shared" si="36"/>
        <v>2.629</v>
      </c>
      <c r="AZ20" s="6">
        <v>1</v>
      </c>
      <c r="BA20" s="26">
        <f t="shared" si="21"/>
        <v>9.6452684082892426E-2</v>
      </c>
      <c r="BB20" s="43">
        <f t="shared" si="22"/>
        <v>6.9449999999999998E-2</v>
      </c>
      <c r="BC20" s="43">
        <f t="shared" si="23"/>
        <v>4.6300000000000001E-2</v>
      </c>
      <c r="BD20" s="26">
        <f t="shared" si="24"/>
        <v>9.214944334215168E-2</v>
      </c>
      <c r="BE20" s="44">
        <f>$BA$6*((HOUR(BD20)*60)+MINUTE(BD20)+(SECOND(BD20)/60))</f>
        <v>2.2116666666666663E-2</v>
      </c>
      <c r="BF20" s="26" t="e">
        <f t="shared" si="26"/>
        <v>#VALUE!</v>
      </c>
      <c r="BG20" s="44" t="e">
        <f t="shared" si="27"/>
        <v>#VALUE!</v>
      </c>
      <c r="BH20" s="43" t="e">
        <f t="shared" si="28"/>
        <v>#VALUE!</v>
      </c>
      <c r="BI20" s="43" t="e">
        <f t="shared" si="29"/>
        <v>#VALUE!</v>
      </c>
    </row>
    <row r="22" spans="1:61" x14ac:dyDescent="0.35">
      <c r="G22" s="84"/>
      <c r="H22" s="84"/>
      <c r="P22" s="84"/>
      <c r="X22" s="84"/>
      <c r="AK22" s="84"/>
      <c r="AO22" s="84"/>
      <c r="AU22" s="84">
        <f>AL13+AQ13+Z13+R13+J13</f>
        <v>5.9635416666666665E-3</v>
      </c>
    </row>
    <row r="23" spans="1:61" ht="13.15" x14ac:dyDescent="0.4">
      <c r="G23" s="84"/>
      <c r="X23" s="84"/>
      <c r="AH23" s="85"/>
    </row>
    <row r="24" spans="1:61" s="86" customFormat="1" ht="13.15" x14ac:dyDescent="0.4">
      <c r="A24" s="86" t="s">
        <v>57</v>
      </c>
      <c r="C24" s="85"/>
      <c r="D24" s="85">
        <f>AVERAGE(D13:D19)</f>
        <v>8.9781746031746088E-4</v>
      </c>
      <c r="E24" s="85">
        <f>AVERAGE(E13:E18)</f>
        <v>3.0864197530864257E-4</v>
      </c>
      <c r="J24" s="85">
        <f>AVERAGE(J13:J19)</f>
        <v>7.8645833333333313E-4</v>
      </c>
      <c r="K24" s="85">
        <v>1.1574074074074073E-4</v>
      </c>
      <c r="L24" s="85">
        <f>AVERAGE(L13:L18)</f>
        <v>1.0416666666666669E-3</v>
      </c>
      <c r="M24" s="85">
        <f>AVERAGE(M13:M17)</f>
        <v>1.0231481481481474E-3</v>
      </c>
      <c r="P24" s="85"/>
      <c r="R24" s="85">
        <f>(R13+R14+R15+R16)/4</f>
        <v>6.1993634259259272E-4</v>
      </c>
      <c r="S24" s="85">
        <v>1.1574074074074073E-4</v>
      </c>
      <c r="T24" s="85" t="e">
        <f>AVERAGE(T13:T18)</f>
        <v>#VALUE!</v>
      </c>
      <c r="U24" s="85">
        <f>(U13+U14+U15)/3</f>
        <v>3.1365740740740729E-3</v>
      </c>
      <c r="Z24" s="85">
        <f>AVERAGE(Z13:Z17)</f>
        <v>1.5046296296296308E-4</v>
      </c>
      <c r="AA24" s="85">
        <v>1.1574074074074073E-4</v>
      </c>
      <c r="AB24" s="85">
        <f>AVERAGE(AB16,AB14,AB17)</f>
        <v>3.8966049382716086E-4</v>
      </c>
      <c r="AC24" s="85">
        <f>AVERAGE(AC13:AC17)</f>
        <v>3.5879629629629526E-4</v>
      </c>
      <c r="AF24" s="87"/>
      <c r="AH24" s="85">
        <f>(AH13+AH15)/2</f>
        <v>6.481481481481477E-4</v>
      </c>
      <c r="AI24" s="85">
        <v>1.1574074074074073E-4</v>
      </c>
      <c r="AL24" s="85">
        <f>AVERAGE(AL13:AL15)</f>
        <v>8.793081275720164E-4</v>
      </c>
      <c r="AM24" s="85">
        <f>AVERAGE(AM14,AM13)</f>
        <v>6.9907407407407366E-3</v>
      </c>
      <c r="AN24" s="85">
        <v>1.1574074074074073E-4</v>
      </c>
      <c r="AP24" s="85">
        <f>AVERAGE(AP13:AP15)</f>
        <v>9.6547067901234605E-3</v>
      </c>
      <c r="AQ24" s="85">
        <f>AVERAGE(AQ13:AQ14)</f>
        <v>2.0688657407407413E-3</v>
      </c>
    </row>
    <row r="25" spans="1:61" x14ac:dyDescent="0.35">
      <c r="A25" s="10"/>
      <c r="N25" s="84"/>
      <c r="AA25" s="113"/>
      <c r="AB25" s="113"/>
      <c r="AC25" s="84">
        <f>AA18-W18</f>
        <v>3.5879629629629456E-4</v>
      </c>
      <c r="AJ25" s="1"/>
      <c r="AM25" s="84"/>
      <c r="AT25" s="13"/>
      <c r="AU25" s="88"/>
      <c r="AV25" s="1"/>
      <c r="AW25" s="1"/>
      <c r="AX25" s="1"/>
      <c r="AY25" s="1"/>
    </row>
    <row r="26" spans="1:61" x14ac:dyDescent="0.35">
      <c r="N26" s="84"/>
      <c r="AA26" s="113"/>
      <c r="AB26" s="113"/>
      <c r="AC26" s="8" t="s">
        <v>58</v>
      </c>
      <c r="AJ26" s="1"/>
      <c r="AR26" s="114"/>
      <c r="AS26" s="12"/>
      <c r="AT26" s="12"/>
      <c r="AU26" s="89"/>
      <c r="AY26" s="90"/>
    </row>
    <row r="27" spans="1:61" x14ac:dyDescent="0.35">
      <c r="C27" s="102" t="s">
        <v>68</v>
      </c>
      <c r="D27" s="103"/>
      <c r="E27" s="91"/>
      <c r="I27" s="100" t="s">
        <v>68</v>
      </c>
      <c r="J27" s="100"/>
      <c r="N27" s="84"/>
      <c r="O27" s="100" t="s">
        <v>68</v>
      </c>
      <c r="P27" s="100"/>
      <c r="X27" s="8" t="s">
        <v>59</v>
      </c>
      <c r="AC27" s="8" t="s">
        <v>60</v>
      </c>
      <c r="AJ27" s="1"/>
      <c r="AL27" s="84"/>
      <c r="AM27" s="84"/>
      <c r="AR27" s="114"/>
      <c r="AS27" s="12"/>
      <c r="AT27" s="92"/>
      <c r="AU27" s="93"/>
      <c r="AY27" s="90"/>
    </row>
    <row r="28" spans="1:61" ht="43.15" customHeight="1" x14ac:dyDescent="0.4">
      <c r="B28" s="11"/>
      <c r="C28" s="3" t="s">
        <v>14</v>
      </c>
      <c r="D28" s="98" t="s">
        <v>61</v>
      </c>
      <c r="E28" s="11"/>
      <c r="F28" s="11"/>
      <c r="H28" s="11"/>
      <c r="I28" s="3" t="s">
        <v>14</v>
      </c>
      <c r="J28" s="136" t="s">
        <v>62</v>
      </c>
      <c r="N28" s="84"/>
      <c r="O28" s="6" t="s">
        <v>63</v>
      </c>
      <c r="P28" s="98" t="s">
        <v>64</v>
      </c>
      <c r="AC28" s="8" t="s">
        <v>65</v>
      </c>
      <c r="AJ28" s="1"/>
      <c r="AR28" s="84"/>
      <c r="AU28" s="84"/>
      <c r="AY28" s="90"/>
    </row>
    <row r="29" spans="1:61" ht="13.15" x14ac:dyDescent="0.4">
      <c r="C29" s="6">
        <v>1</v>
      </c>
      <c r="D29" s="26">
        <f>AO13-C13</f>
        <v>3.5798611111111107E-2</v>
      </c>
      <c r="I29" s="6">
        <v>1</v>
      </c>
      <c r="J29" s="26">
        <f>$AT13</f>
        <v>1.1944444444444442E-2</v>
      </c>
      <c r="O29" s="3" t="s">
        <v>66</v>
      </c>
      <c r="P29" s="94"/>
      <c r="AJ29" s="1"/>
      <c r="AR29" s="84"/>
      <c r="AU29" s="84"/>
      <c r="AY29" s="90"/>
    </row>
    <row r="30" spans="1:61" x14ac:dyDescent="0.35">
      <c r="C30" s="6">
        <v>2</v>
      </c>
      <c r="D30" s="26">
        <f t="shared" ref="D30:D36" si="46">AO14-C14</f>
        <v>3.3888888888888885E-2</v>
      </c>
      <c r="F30" s="84"/>
      <c r="I30" s="6">
        <v>2</v>
      </c>
      <c r="J30" s="26">
        <f t="shared" ref="J30:J36" si="47">$AT14</f>
        <v>1.8217592592592584E-2</v>
      </c>
      <c r="O30" s="6" t="s">
        <v>11</v>
      </c>
      <c r="P30" s="26">
        <f>SUM(H13:H20)</f>
        <v>2.8539351851851847E-2</v>
      </c>
      <c r="AJ30" s="1"/>
      <c r="AR30" s="84"/>
      <c r="AU30" s="84"/>
      <c r="AY30" s="90"/>
    </row>
    <row r="31" spans="1:61" x14ac:dyDescent="0.35">
      <c r="C31" s="6">
        <v>3</v>
      </c>
      <c r="D31" s="26">
        <f t="shared" si="46"/>
        <v>3.8084490740740738E-2</v>
      </c>
      <c r="F31" s="84"/>
      <c r="I31" s="6">
        <v>3</v>
      </c>
      <c r="J31" s="26">
        <f t="shared" si="47"/>
        <v>1.4594907407407397E-2</v>
      </c>
      <c r="O31" s="6" t="s">
        <v>12</v>
      </c>
      <c r="P31" s="26">
        <f>SUM(P13:P20)</f>
        <v>2.4959490740740747E-2</v>
      </c>
      <c r="AJ31" s="1"/>
      <c r="AR31" s="84"/>
      <c r="AU31" s="84"/>
      <c r="AY31" s="90"/>
    </row>
    <row r="32" spans="1:61" x14ac:dyDescent="0.35">
      <c r="C32" s="6">
        <v>4</v>
      </c>
      <c r="D32" s="26">
        <f t="shared" si="46"/>
        <v>4.762152777777777E-2</v>
      </c>
      <c r="F32" s="84"/>
      <c r="I32" s="6">
        <v>4</v>
      </c>
      <c r="J32" s="26">
        <f>$AT16</f>
        <v>2.9081147119341556E-2</v>
      </c>
      <c r="O32" s="6" t="s">
        <v>13</v>
      </c>
      <c r="P32" s="26" t="e">
        <f>SUM(X13:X20)</f>
        <v>#VALUE!</v>
      </c>
      <c r="AJ32" s="1"/>
      <c r="AR32" s="84"/>
      <c r="AU32" s="84"/>
      <c r="AY32" s="90"/>
    </row>
    <row r="33" spans="3:57" x14ac:dyDescent="0.35">
      <c r="C33" s="6">
        <v>5</v>
      </c>
      <c r="D33" s="26">
        <f t="shared" si="46"/>
        <v>6.2916666666666676E-2</v>
      </c>
      <c r="F33" s="84"/>
      <c r="I33" s="6">
        <v>5</v>
      </c>
      <c r="J33" s="26">
        <f t="shared" si="47"/>
        <v>3.6674382716049378E-2</v>
      </c>
      <c r="O33" s="6" t="s">
        <v>67</v>
      </c>
      <c r="P33" s="26">
        <f>SUM(AG13:AG20)</f>
        <v>5.5555555555555601E-3</v>
      </c>
      <c r="AJ33" s="1"/>
      <c r="AR33" s="84"/>
      <c r="AU33" s="84"/>
      <c r="AY33" s="90"/>
    </row>
    <row r="34" spans="3:57" x14ac:dyDescent="0.35">
      <c r="C34" s="6">
        <v>6</v>
      </c>
      <c r="D34" s="26">
        <f t="shared" si="46"/>
        <v>7.5344328703703708E-2</v>
      </c>
      <c r="F34" s="84"/>
      <c r="I34" s="6">
        <v>6</v>
      </c>
      <c r="J34" s="26">
        <f t="shared" si="47"/>
        <v>5.1043274176954742E-2</v>
      </c>
      <c r="O34" s="6" t="s">
        <v>17</v>
      </c>
      <c r="P34" s="26">
        <f>SUM(AK13:AK20)</f>
        <v>3.1856031378600817E-2</v>
      </c>
      <c r="AJ34" s="1"/>
      <c r="AR34" s="84"/>
    </row>
    <row r="35" spans="3:57" x14ac:dyDescent="0.35">
      <c r="C35" s="6">
        <v>7</v>
      </c>
      <c r="D35" s="26">
        <f t="shared" si="46"/>
        <v>8.5298032407407423E-2</v>
      </c>
      <c r="F35" s="84"/>
      <c r="I35" s="6">
        <v>7</v>
      </c>
      <c r="J35" s="26">
        <f t="shared" si="47"/>
        <v>6.8051054526748977E-2</v>
      </c>
      <c r="O35" s="6" t="s">
        <v>18</v>
      </c>
      <c r="P35" s="26">
        <f>SUM(AP13:AP20)</f>
        <v>7.6548032407407429E-2</v>
      </c>
      <c r="AR35" s="84"/>
      <c r="AU35" s="1"/>
      <c r="AV35" s="1"/>
      <c r="AW35" s="1"/>
      <c r="AX35" s="1"/>
      <c r="AY35" s="1"/>
      <c r="BA35" s="95"/>
      <c r="BB35" s="1"/>
      <c r="BC35" s="1"/>
      <c r="BD35" s="1"/>
      <c r="BE35" s="1"/>
    </row>
    <row r="36" spans="3:57" ht="13.15" x14ac:dyDescent="0.4">
      <c r="C36" s="6">
        <v>8</v>
      </c>
      <c r="D36" s="26">
        <f t="shared" si="46"/>
        <v>9.7350501543209886E-2</v>
      </c>
      <c r="I36" s="6">
        <v>8</v>
      </c>
      <c r="J36" s="26">
        <f t="shared" si="47"/>
        <v>7.9237782921810718E-2</v>
      </c>
      <c r="O36" s="6" t="s">
        <v>57</v>
      </c>
      <c r="P36" s="99" t="e">
        <f>AVERAGE(P30:P35)</f>
        <v>#VALUE!</v>
      </c>
      <c r="AU36" s="84"/>
      <c r="AY36" s="90"/>
      <c r="BA36" s="84"/>
      <c r="BE36" s="90"/>
    </row>
    <row r="37" spans="3:57" ht="13.15" x14ac:dyDescent="0.4">
      <c r="C37" s="6" t="s">
        <v>57</v>
      </c>
      <c r="D37" s="99">
        <f>AVERAGE(D29:D36)</f>
        <v>5.9537880979938278E-2</v>
      </c>
      <c r="I37" s="6" t="s">
        <v>57</v>
      </c>
      <c r="J37" s="99">
        <f>AVERAGE(J29:J36)</f>
        <v>3.8605573238168725E-2</v>
      </c>
      <c r="AU37" s="84"/>
      <c r="AY37" s="90"/>
      <c r="BA37" s="84"/>
      <c r="BE37" s="90"/>
    </row>
    <row r="38" spans="3:57" x14ac:dyDescent="0.35">
      <c r="AU38" s="84"/>
      <c r="AY38" s="90"/>
      <c r="BA38" s="84"/>
      <c r="BE38" s="90"/>
    </row>
    <row r="39" spans="3:57" x14ac:dyDescent="0.35">
      <c r="AU39" s="84"/>
      <c r="AY39" s="90"/>
      <c r="BA39" s="84"/>
      <c r="BE39" s="90"/>
    </row>
    <row r="40" spans="3:57" x14ac:dyDescent="0.35">
      <c r="C40" s="100" t="s">
        <v>68</v>
      </c>
      <c r="D40" s="100"/>
      <c r="I40" s="100" t="s">
        <v>68</v>
      </c>
      <c r="J40" s="100"/>
      <c r="O40" s="100" t="s">
        <v>68</v>
      </c>
      <c r="P40" s="100"/>
      <c r="AD40" s="1"/>
      <c r="AF40"/>
      <c r="AS40" s="84"/>
      <c r="AW40" s="90"/>
      <c r="AY40" s="84"/>
      <c r="BC40" s="90"/>
    </row>
    <row r="41" spans="3:57" ht="52.5" x14ac:dyDescent="0.4">
      <c r="C41" s="6" t="s">
        <v>14</v>
      </c>
      <c r="D41" s="98" t="s">
        <v>69</v>
      </c>
      <c r="I41" s="3" t="s">
        <v>63</v>
      </c>
      <c r="J41" s="98" t="s">
        <v>70</v>
      </c>
      <c r="O41" s="6" t="s">
        <v>63</v>
      </c>
      <c r="P41" s="137" t="s">
        <v>71</v>
      </c>
      <c r="Q41" s="1"/>
      <c r="AD41" s="1"/>
      <c r="AF41"/>
      <c r="AS41" s="84"/>
      <c r="AW41" s="90"/>
      <c r="AY41" s="84"/>
      <c r="BC41" s="90"/>
    </row>
    <row r="42" spans="3:57" ht="13.15" x14ac:dyDescent="0.4">
      <c r="C42" s="6">
        <v>1</v>
      </c>
      <c r="D42" s="26">
        <f>$AS13</f>
        <v>2.3854166666666666E-2</v>
      </c>
      <c r="I42" s="6" t="s">
        <v>66</v>
      </c>
      <c r="J42" s="96"/>
      <c r="O42" s="3" t="s">
        <v>66</v>
      </c>
      <c r="P42" s="94"/>
      <c r="AD42" s="1"/>
      <c r="AF42"/>
      <c r="AS42" s="84"/>
      <c r="AW42" s="90"/>
      <c r="AY42" s="84"/>
      <c r="BC42" s="90"/>
    </row>
    <row r="43" spans="3:57" x14ac:dyDescent="0.35">
      <c r="C43" s="6">
        <v>2</v>
      </c>
      <c r="D43" s="26">
        <f t="shared" ref="D43:D49" si="48">$AS14</f>
        <v>1.5671296296296301E-2</v>
      </c>
      <c r="I43" s="6" t="s">
        <v>11</v>
      </c>
      <c r="J43" s="26">
        <f>$G$20-$F$13</f>
        <v>3.6817570546737219E-2</v>
      </c>
      <c r="O43" s="6" t="s">
        <v>11</v>
      </c>
      <c r="P43" s="26">
        <f>J43-P30</f>
        <v>8.2782186948853718E-3</v>
      </c>
      <c r="AD43" s="1"/>
      <c r="AF43"/>
      <c r="AS43" s="84"/>
      <c r="AW43" s="90"/>
      <c r="AY43" s="84"/>
      <c r="BC43" s="90"/>
    </row>
    <row r="44" spans="3:57" x14ac:dyDescent="0.35">
      <c r="C44" s="6">
        <v>3</v>
      </c>
      <c r="D44" s="26">
        <f t="shared" si="48"/>
        <v>2.3489583333333341E-2</v>
      </c>
      <c r="I44" s="6" t="s">
        <v>12</v>
      </c>
      <c r="J44" s="26">
        <f>$O$20-$N$13</f>
        <v>3.5257964065255741E-2</v>
      </c>
      <c r="O44" s="6" t="s">
        <v>12</v>
      </c>
      <c r="P44" s="26">
        <f t="shared" ref="P44:P48" si="49">J44-P31</f>
        <v>1.0298473324514994E-2</v>
      </c>
      <c r="AD44" s="1"/>
      <c r="AF44"/>
    </row>
    <row r="45" spans="3:57" x14ac:dyDescent="0.35">
      <c r="C45" s="6">
        <v>4</v>
      </c>
      <c r="D45" s="26">
        <f t="shared" si="48"/>
        <v>1.8540380658436214E-2</v>
      </c>
      <c r="I45" s="6" t="s">
        <v>13</v>
      </c>
      <c r="J45" s="26" t="e">
        <f>$W$20-$V$13</f>
        <v>#VALUE!</v>
      </c>
      <c r="O45" s="6" t="s">
        <v>13</v>
      </c>
      <c r="P45" s="26" t="e">
        <f>J45-P32</f>
        <v>#VALUE!</v>
      </c>
      <c r="AD45" s="1"/>
      <c r="AF45"/>
      <c r="AZ45" s="1"/>
      <c r="BA45" s="1"/>
      <c r="BB45" s="1"/>
      <c r="BC45" s="1"/>
    </row>
    <row r="46" spans="3:57" x14ac:dyDescent="0.35">
      <c r="C46" s="6">
        <v>5</v>
      </c>
      <c r="D46" s="26">
        <f t="shared" si="48"/>
        <v>2.6242283950617295E-2</v>
      </c>
      <c r="I46" s="6" t="s">
        <v>67</v>
      </c>
      <c r="J46" s="26">
        <f>$AE$20-$AD$13</f>
        <v>2.7892994929453269E-2</v>
      </c>
      <c r="O46" s="6" t="s">
        <v>67</v>
      </c>
      <c r="P46" s="26">
        <f t="shared" si="49"/>
        <v>2.2337439373897709E-2</v>
      </c>
      <c r="AD46" s="1"/>
      <c r="AF46"/>
      <c r="AS46" s="84"/>
      <c r="AW46" s="90"/>
      <c r="AY46" s="84"/>
      <c r="BC46" s="90"/>
    </row>
    <row r="47" spans="3:57" x14ac:dyDescent="0.35">
      <c r="C47" s="6">
        <v>6</v>
      </c>
      <c r="D47" s="26">
        <f t="shared" si="48"/>
        <v>2.430105452674897E-2</v>
      </c>
      <c r="I47" s="6" t="s">
        <v>17</v>
      </c>
      <c r="J47" s="26">
        <f>$AJ$20-$AI$13</f>
        <v>3.7272698045267477E-2</v>
      </c>
      <c r="O47" s="6" t="s">
        <v>17</v>
      </c>
      <c r="P47" s="26">
        <f t="shared" si="49"/>
        <v>5.4166666666666599E-3</v>
      </c>
      <c r="AD47" s="1"/>
      <c r="AF47"/>
      <c r="AS47" s="84"/>
      <c r="AW47" s="90"/>
      <c r="AY47" s="84"/>
      <c r="BC47" s="90"/>
    </row>
    <row r="48" spans="3:57" x14ac:dyDescent="0.35">
      <c r="C48" s="6">
        <v>7</v>
      </c>
      <c r="D48" s="26">
        <f t="shared" si="48"/>
        <v>1.7246977880658439E-2</v>
      </c>
      <c r="I48" s="6" t="s">
        <v>18</v>
      </c>
      <c r="J48" s="26">
        <f>$AO$20-$AN$13</f>
        <v>0.10834201388888891</v>
      </c>
      <c r="O48" s="6" t="s">
        <v>18</v>
      </c>
      <c r="P48" s="26">
        <f t="shared" si="49"/>
        <v>3.1793981481481479E-2</v>
      </c>
      <c r="AD48" s="1"/>
      <c r="AF48"/>
      <c r="AS48" s="84"/>
      <c r="AW48" s="90"/>
      <c r="AY48" s="84"/>
      <c r="BC48" s="90"/>
    </row>
    <row r="49" spans="3:57" ht="13.15" x14ac:dyDescent="0.4">
      <c r="C49" s="6">
        <v>8</v>
      </c>
      <c r="D49" s="26">
        <f t="shared" si="48"/>
        <v>1.8112718621399168E-2</v>
      </c>
      <c r="I49" s="97" t="s">
        <v>57</v>
      </c>
      <c r="J49" s="99" t="e">
        <f>AVERAGE(J43:J48)</f>
        <v>#VALUE!</v>
      </c>
      <c r="O49" s="6" t="s">
        <v>57</v>
      </c>
      <c r="P49" s="99" t="e">
        <f>AVERAGE(P43:P48)</f>
        <v>#VALUE!</v>
      </c>
      <c r="AD49" s="1"/>
      <c r="AF49"/>
      <c r="AS49" s="84"/>
      <c r="AW49" s="90"/>
      <c r="AY49" s="84"/>
      <c r="BC49" s="90"/>
    </row>
    <row r="50" spans="3:57" ht="13.15" x14ac:dyDescent="0.4">
      <c r="C50" s="6" t="s">
        <v>57</v>
      </c>
      <c r="D50" s="99">
        <f>AVERAGE(D42:D49)</f>
        <v>2.0932307741769553E-2</v>
      </c>
      <c r="AD50" s="1"/>
      <c r="AF50"/>
      <c r="AS50" s="84"/>
      <c r="AW50" s="90"/>
      <c r="AY50" s="84"/>
      <c r="BC50" s="90"/>
    </row>
    <row r="51" spans="3:57" x14ac:dyDescent="0.35">
      <c r="AU51" s="84"/>
      <c r="AY51" s="90"/>
      <c r="BA51" s="84"/>
      <c r="BE51" s="90"/>
    </row>
    <row r="52" spans="3:57" x14ac:dyDescent="0.35">
      <c r="AU52" s="84"/>
      <c r="AY52" s="90"/>
      <c r="BA52" s="84"/>
      <c r="BE52" s="90"/>
    </row>
    <row r="53" spans="3:57" x14ac:dyDescent="0.35">
      <c r="AU53" s="84"/>
      <c r="AY53" s="90"/>
      <c r="BA53" s="84"/>
      <c r="BE53" s="90"/>
    </row>
    <row r="68" spans="2:6" x14ac:dyDescent="0.35">
      <c r="B68" s="101"/>
      <c r="C68" s="101"/>
      <c r="E68" s="101"/>
      <c r="F68" s="101"/>
    </row>
    <row r="69" spans="2:6" x14ac:dyDescent="0.35">
      <c r="B69" s="11"/>
      <c r="C69" s="11"/>
      <c r="E69" s="11"/>
      <c r="F69" s="11"/>
    </row>
    <row r="70" spans="2:6" x14ac:dyDescent="0.35">
      <c r="C70" s="84"/>
    </row>
    <row r="71" spans="2:6" x14ac:dyDescent="0.35">
      <c r="C71" s="84"/>
      <c r="F71" s="84"/>
    </row>
    <row r="72" spans="2:6" x14ac:dyDescent="0.35">
      <c r="C72" s="84"/>
      <c r="F72" s="84"/>
    </row>
    <row r="73" spans="2:6" x14ac:dyDescent="0.35">
      <c r="C73" s="84"/>
      <c r="F73" s="84"/>
    </row>
    <row r="74" spans="2:6" x14ac:dyDescent="0.35">
      <c r="C74" s="84"/>
      <c r="F74" s="84"/>
    </row>
    <row r="75" spans="2:6" x14ac:dyDescent="0.35">
      <c r="C75" s="84"/>
      <c r="F75" s="84"/>
    </row>
    <row r="76" spans="2:6" x14ac:dyDescent="0.35">
      <c r="C76" s="84"/>
      <c r="F76" s="84"/>
    </row>
    <row r="77" spans="2:6" x14ac:dyDescent="0.35">
      <c r="C77" s="84"/>
    </row>
  </sheetData>
  <mergeCells count="40">
    <mergeCell ref="AV3:AW3"/>
    <mergeCell ref="AX3:AX4"/>
    <mergeCell ref="AY3:BB3"/>
    <mergeCell ref="A11:A12"/>
    <mergeCell ref="B11:B12"/>
    <mergeCell ref="C11:J11"/>
    <mergeCell ref="K11:R11"/>
    <mergeCell ref="S11:Z11"/>
    <mergeCell ref="AA11:AG11"/>
    <mergeCell ref="AH11:AL11"/>
    <mergeCell ref="AZ11:AZ12"/>
    <mergeCell ref="BA11:BA12"/>
    <mergeCell ref="BB11:BB12"/>
    <mergeCell ref="AM11:AQ11"/>
    <mergeCell ref="AR11:AR12"/>
    <mergeCell ref="AS11:AS12"/>
    <mergeCell ref="BI11:BI12"/>
    <mergeCell ref="AA25:AA26"/>
    <mergeCell ref="AB25:AB26"/>
    <mergeCell ref="AR26:AR27"/>
    <mergeCell ref="BE11:BE12"/>
    <mergeCell ref="BF11:BF12"/>
    <mergeCell ref="BG11:BG12"/>
    <mergeCell ref="BH11:BH12"/>
    <mergeCell ref="C27:D27"/>
    <mergeCell ref="I27:J27"/>
    <mergeCell ref="O27:P27"/>
    <mergeCell ref="BC11:BC12"/>
    <mergeCell ref="BD11:BD12"/>
    <mergeCell ref="AW11:AW12"/>
    <mergeCell ref="AX11:AX12"/>
    <mergeCell ref="AY11:AY12"/>
    <mergeCell ref="AT11:AT12"/>
    <mergeCell ref="AU11:AU12"/>
    <mergeCell ref="AV11:AV12"/>
    <mergeCell ref="C40:D40"/>
    <mergeCell ref="I40:J40"/>
    <mergeCell ref="O40:P40"/>
    <mergeCell ref="B68:C68"/>
    <mergeCell ref="E68:F68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MZZSO_02</dc:creator>
  <cp:lastModifiedBy>Ramadasu kanakanti</cp:lastModifiedBy>
  <dcterms:created xsi:type="dcterms:W3CDTF">2026-06-20T14:24:05Z</dcterms:created>
  <dcterms:modified xsi:type="dcterms:W3CDTF">2026-06-24T21:18:51Z</dcterms:modified>
</cp:coreProperties>
</file>