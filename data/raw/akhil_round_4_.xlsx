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ec86d81824fcfbfe/"/>
    </mc:Choice>
  </mc:AlternateContent>
  <xr:revisionPtr revIDLastSave="0" documentId="8_{C8AFE027-06BB-4C86-90C2-0220E030041F}" xr6:coauthVersionLast="47" xr6:coauthVersionMax="47" xr10:uidLastSave="{00000000-0000-0000-0000-000000000000}"/>
  <bookViews>
    <workbookView xWindow="-108" yWindow="-108" windowWidth="23256" windowHeight="12456" xr2:uid="{4BCF8A10-E3EE-4062-9A87-35BF55E61324}"/>
  </bookViews>
  <sheets>
    <sheet name="Sheet1" sheetId="1" r:id="rId1"/>
    <sheet name="Sheet2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C26" i="1"/>
  <c r="BC17" i="1"/>
  <c r="BB17" i="1"/>
  <c r="BA17" i="1"/>
  <c r="BE13" i="1"/>
  <c r="BE12" i="1"/>
  <c r="BE11" i="1"/>
  <c r="E11" i="1"/>
  <c r="D11" i="1"/>
  <c r="BE10" i="1"/>
  <c r="N10" i="1"/>
  <c r="M10" i="1"/>
  <c r="J10" i="1"/>
  <c r="K10" i="1" s="1"/>
  <c r="H10" i="1"/>
  <c r="I10" i="1" s="1"/>
  <c r="E10" i="1"/>
  <c r="D10" i="1"/>
  <c r="BE9" i="1"/>
  <c r="AN9" i="1"/>
  <c r="AO9" i="1" s="1"/>
  <c r="AJ9" i="1"/>
  <c r="AF9" i="1"/>
  <c r="AE9" i="1"/>
  <c r="AB9" i="1"/>
  <c r="AC9" i="1" s="1"/>
  <c r="Z9" i="1"/>
  <c r="AA9" i="1" s="1"/>
  <c r="W9" i="1"/>
  <c r="V9" i="1"/>
  <c r="S9" i="1"/>
  <c r="T9" i="1" s="1"/>
  <c r="Q9" i="1"/>
  <c r="R9" i="1" s="1"/>
  <c r="N9" i="1"/>
  <c r="M9" i="1"/>
  <c r="J9" i="1"/>
  <c r="K9" i="1" s="1"/>
  <c r="H9" i="1"/>
  <c r="E9" i="1"/>
  <c r="D9" i="1"/>
  <c r="BL8" i="1"/>
  <c r="BK8" i="1"/>
  <c r="BI8" i="1"/>
  <c r="BJ8" i="1" s="1"/>
  <c r="BF8" i="1"/>
  <c r="BH8" i="1" s="1"/>
  <c r="BE8" i="1"/>
  <c r="AU8" i="1"/>
  <c r="AS8" i="1"/>
  <c r="AT8" i="1" s="1"/>
  <c r="AP8" i="1"/>
  <c r="AN8" i="1"/>
  <c r="AO8" i="1" s="1"/>
  <c r="AK8" i="1"/>
  <c r="AJ8" i="1"/>
  <c r="AF8" i="1"/>
  <c r="AB8" i="1"/>
  <c r="AC8" i="1" s="1"/>
  <c r="Z8" i="1"/>
  <c r="AA8" i="1" s="1"/>
  <c r="W8" i="1"/>
  <c r="V8" i="1"/>
  <c r="S8" i="1"/>
  <c r="T8" i="1" s="1"/>
  <c r="Q8" i="1"/>
  <c r="R8" i="1" s="1"/>
  <c r="N8" i="1"/>
  <c r="M8" i="1"/>
  <c r="J8" i="1"/>
  <c r="K8" i="1" s="1"/>
  <c r="H8" i="1"/>
  <c r="E8" i="1"/>
  <c r="D8" i="1"/>
  <c r="BK7" i="1"/>
  <c r="BL7" i="1" s="1"/>
  <c r="BI7" i="1"/>
  <c r="BJ7" i="1" s="1"/>
  <c r="BF7" i="1"/>
  <c r="BH7" i="1" s="1"/>
  <c r="BE7" i="1"/>
  <c r="AU7" i="1"/>
  <c r="AS7" i="1"/>
  <c r="AT7" i="1" s="1"/>
  <c r="AP7" i="1"/>
  <c r="AN7" i="1"/>
  <c r="AO7" i="1" s="1"/>
  <c r="AJ7" i="1"/>
  <c r="AF7" i="1"/>
  <c r="AE7" i="1"/>
  <c r="AE15" i="1" s="1"/>
  <c r="AB7" i="1"/>
  <c r="AC7" i="1" s="1"/>
  <c r="Z7" i="1"/>
  <c r="AA7" i="1" s="1"/>
  <c r="W7" i="1"/>
  <c r="W15" i="1" s="1"/>
  <c r="V7" i="1"/>
  <c r="S7" i="1"/>
  <c r="T7" i="1" s="1"/>
  <c r="Q7" i="1"/>
  <c r="R7" i="1" s="1"/>
  <c r="N7" i="1"/>
  <c r="N15" i="1" s="1"/>
  <c r="M7" i="1"/>
  <c r="J7" i="1"/>
  <c r="K7" i="1" s="1"/>
  <c r="I7" i="1"/>
  <c r="H7" i="1"/>
  <c r="E7" i="1"/>
  <c r="E15" i="1" s="1"/>
  <c r="D7" i="1"/>
  <c r="BK6" i="1"/>
  <c r="BL6" i="1" s="1"/>
  <c r="BI6" i="1"/>
  <c r="BJ6" i="1" s="1"/>
  <c r="BF6" i="1"/>
  <c r="BH6" i="1" s="1"/>
  <c r="BE6" i="1"/>
  <c r="AU6" i="1"/>
  <c r="AS6" i="1"/>
  <c r="AP6" i="1"/>
  <c r="AP15" i="1" s="1"/>
  <c r="AN6" i="1"/>
  <c r="AO6" i="1" s="1"/>
  <c r="AK6" i="1"/>
  <c r="AK15" i="1" s="1"/>
  <c r="AL11" i="1" s="1"/>
  <c r="AJ6" i="1"/>
  <c r="S49" i="1" s="1"/>
  <c r="AF6" i="1"/>
  <c r="AF15" i="1" s="1"/>
  <c r="AB6" i="1"/>
  <c r="AC6" i="1" s="1"/>
  <c r="Z6" i="1"/>
  <c r="AA6" i="1" s="1"/>
  <c r="V6" i="1"/>
  <c r="V15" i="1" s="1"/>
  <c r="S6" i="1"/>
  <c r="T6" i="1" s="1"/>
  <c r="Q6" i="1"/>
  <c r="M6" i="1"/>
  <c r="M15" i="1" s="1"/>
  <c r="J6" i="1"/>
  <c r="K6" i="1" s="1"/>
  <c r="I6" i="1"/>
  <c r="H6" i="1"/>
  <c r="D6" i="1"/>
  <c r="D15" i="1" s="1"/>
  <c r="AO15" i="1" l="1"/>
  <c r="AM12" i="1" s="1"/>
  <c r="AN12" i="1" s="1"/>
  <c r="BD17" i="1"/>
  <c r="AY6" i="1"/>
  <c r="AZ6" i="1" s="1"/>
  <c r="BC6" i="1" s="1"/>
  <c r="C46" i="1"/>
  <c r="K27" i="1" s="1"/>
  <c r="BG8" i="1"/>
  <c r="T15" i="1"/>
  <c r="AV7" i="1"/>
  <c r="AW7" i="1" s="1"/>
  <c r="C47" i="1"/>
  <c r="K28" i="1" s="1"/>
  <c r="I8" i="1"/>
  <c r="AA15" i="1"/>
  <c r="AC15" i="1"/>
  <c r="K15" i="1"/>
  <c r="AT6" i="1"/>
  <c r="AT15" i="1" s="1"/>
  <c r="AR9" i="1" s="1"/>
  <c r="BA6" i="1"/>
  <c r="BB6" i="1" s="1"/>
  <c r="BD6" i="1" s="1"/>
  <c r="R6" i="1"/>
  <c r="R15" i="1" s="1"/>
  <c r="P10" i="1" s="1"/>
  <c r="BA8" i="1"/>
  <c r="BB8" i="1" s="1"/>
  <c r="BD8" i="1" s="1"/>
  <c r="I9" i="1"/>
  <c r="I15" i="1" s="1"/>
  <c r="G11" i="1" s="1"/>
  <c r="AV6" i="1"/>
  <c r="AX6" i="1" s="1"/>
  <c r="BG7" i="1"/>
  <c r="C45" i="1"/>
  <c r="AY7" i="1"/>
  <c r="AZ7" i="1" s="1"/>
  <c r="BC7" i="1" s="1"/>
  <c r="AY8" i="1"/>
  <c r="AZ8" i="1" s="1"/>
  <c r="BC8" i="1" s="1"/>
  <c r="BA7" i="1"/>
  <c r="BB7" i="1" s="1"/>
  <c r="BD7" i="1" s="1"/>
  <c r="BM7" i="1" s="1"/>
  <c r="AV8" i="1"/>
  <c r="BG6" i="1"/>
  <c r="BM6" i="1" l="1"/>
  <c r="BM8" i="1"/>
  <c r="AX7" i="1"/>
  <c r="AM11" i="1"/>
  <c r="L11" i="1"/>
  <c r="J11" i="1"/>
  <c r="H11" i="1"/>
  <c r="C12" i="1"/>
  <c r="F12" i="1" s="1"/>
  <c r="S10" i="1"/>
  <c r="T10" i="1" s="1"/>
  <c r="Q10" i="1"/>
  <c r="U10" i="1"/>
  <c r="AW6" i="1"/>
  <c r="K26" i="1"/>
  <c r="BI9" i="1"/>
  <c r="BJ9" i="1" s="1"/>
  <c r="AS9" i="1"/>
  <c r="BF9" i="1"/>
  <c r="BK9" i="1"/>
  <c r="BL9" i="1" s="1"/>
  <c r="AU9" i="1"/>
  <c r="C29" i="1"/>
  <c r="AX8" i="1"/>
  <c r="AW8" i="1"/>
  <c r="AQ11" i="1" l="1"/>
  <c r="AR11" i="1" s="1"/>
  <c r="AN11" i="1"/>
  <c r="R10" i="1"/>
  <c r="I11" i="1"/>
  <c r="W10" i="1"/>
  <c r="X10" i="1"/>
  <c r="BH9" i="1"/>
  <c r="BG9" i="1"/>
  <c r="AT9" i="1"/>
  <c r="BA9" i="1"/>
  <c r="BB9" i="1" s="1"/>
  <c r="BD9" i="1" s="1"/>
  <c r="AY9" i="1"/>
  <c r="AZ9" i="1" s="1"/>
  <c r="BC9" i="1" s="1"/>
  <c r="AV9" i="1"/>
  <c r="AX9" i="1" s="1"/>
  <c r="C48" i="1"/>
  <c r="G12" i="1"/>
  <c r="D12" i="1"/>
  <c r="C31" i="1"/>
  <c r="AQ12" i="1"/>
  <c r="AR12" i="1" s="1"/>
  <c r="AU11" i="1"/>
  <c r="AS11" i="1"/>
  <c r="BF11" i="1"/>
  <c r="N11" i="1"/>
  <c r="O11" i="1"/>
  <c r="BI11" i="1" s="1"/>
  <c r="BJ11" i="1" s="1"/>
  <c r="BM9" i="1" l="1"/>
  <c r="V10" i="1"/>
  <c r="K29" i="1"/>
  <c r="J12" i="1"/>
  <c r="C13" i="1"/>
  <c r="F13" i="1" s="1"/>
  <c r="H12" i="1"/>
  <c r="AQ13" i="1"/>
  <c r="AR13" i="1" s="1"/>
  <c r="BF12" i="1"/>
  <c r="C32" i="1"/>
  <c r="AU12" i="1"/>
  <c r="AS12" i="1"/>
  <c r="BH11" i="1"/>
  <c r="BG11" i="1"/>
  <c r="AW9" i="1"/>
  <c r="M11" i="1"/>
  <c r="P11" i="1"/>
  <c r="L12" i="1" l="1"/>
  <c r="U11" i="1"/>
  <c r="S11" i="1"/>
  <c r="T11" i="1" s="1"/>
  <c r="Q11" i="1"/>
  <c r="BH12" i="1"/>
  <c r="BG12" i="1"/>
  <c r="AU13" i="1"/>
  <c r="AS13" i="1"/>
  <c r="C33" i="1"/>
  <c r="K51" i="1"/>
  <c r="BF13" i="1"/>
  <c r="I12" i="1"/>
  <c r="G13" i="1"/>
  <c r="D13" i="1"/>
  <c r="AB10" i="1"/>
  <c r="Z10" i="1"/>
  <c r="AD10" i="1"/>
  <c r="BH13" i="1" l="1"/>
  <c r="BG13" i="1"/>
  <c r="K46" i="1"/>
  <c r="J13" i="1"/>
  <c r="H13" i="1"/>
  <c r="AF10" i="1"/>
  <c r="AG10" i="1"/>
  <c r="AH10" i="1" s="1"/>
  <c r="AL10" i="1" s="1"/>
  <c r="W11" i="1"/>
  <c r="X11" i="1"/>
  <c r="R11" i="1"/>
  <c r="N12" i="1"/>
  <c r="O12" i="1"/>
  <c r="AA10" i="1"/>
  <c r="I13" i="1" l="1"/>
  <c r="S46" i="1"/>
  <c r="S27" i="1"/>
  <c r="V11" i="1"/>
  <c r="BK11" i="1"/>
  <c r="BL11" i="1" s="1"/>
  <c r="AM10" i="1"/>
  <c r="AK10" i="1"/>
  <c r="P12" i="1"/>
  <c r="M12" i="1"/>
  <c r="BI12" i="1"/>
  <c r="BJ12" i="1" s="1"/>
  <c r="AD11" i="1" l="1"/>
  <c r="AB11" i="1"/>
  <c r="BA11" i="1" s="1"/>
  <c r="BB11" i="1" s="1"/>
  <c r="BD11" i="1" s="1"/>
  <c r="Z11" i="1"/>
  <c r="S12" i="1"/>
  <c r="T12" i="1" s="1"/>
  <c r="Q12" i="1"/>
  <c r="L13" i="1"/>
  <c r="U12" i="1"/>
  <c r="AN10" i="1"/>
  <c r="AQ10" i="1"/>
  <c r="AR10" i="1" s="1"/>
  <c r="N13" i="1" l="1"/>
  <c r="O13" i="1"/>
  <c r="R12" i="1"/>
  <c r="AA11" i="1"/>
  <c r="AY11" i="1"/>
  <c r="AZ11" i="1" s="1"/>
  <c r="BC11" i="1" s="1"/>
  <c r="BM11" i="1" s="1"/>
  <c r="AV11" i="1"/>
  <c r="C50" i="1"/>
  <c r="K31" i="1" s="1"/>
  <c r="AF11" i="1"/>
  <c r="AE11" i="1"/>
  <c r="BF10" i="1"/>
  <c r="C30" i="1"/>
  <c r="BK10" i="1"/>
  <c r="BL10" i="1" s="1"/>
  <c r="AU10" i="1"/>
  <c r="AS10" i="1"/>
  <c r="C49" i="1" s="1"/>
  <c r="BI10" i="1"/>
  <c r="BJ10" i="1" s="1"/>
  <c r="W12" i="1"/>
  <c r="X12" i="1"/>
  <c r="AV10" i="1" l="1"/>
  <c r="AX10" i="1" s="1"/>
  <c r="AW10" i="1"/>
  <c r="V12" i="1"/>
  <c r="BK12" i="1"/>
  <c r="BL12" i="1" s="1"/>
  <c r="BG10" i="1"/>
  <c r="BH10" i="1"/>
  <c r="AX11" i="1"/>
  <c r="AW11" i="1"/>
  <c r="K30" i="1"/>
  <c r="C34" i="1"/>
  <c r="AY10" i="1"/>
  <c r="AZ10" i="1" s="1"/>
  <c r="BC10" i="1" s="1"/>
  <c r="BA10" i="1"/>
  <c r="BB10" i="1" s="1"/>
  <c r="BD10" i="1" s="1"/>
  <c r="S51" i="1"/>
  <c r="S32" i="1" s="1"/>
  <c r="P13" i="1"/>
  <c r="M13" i="1"/>
  <c r="BI13" i="1"/>
  <c r="BJ13" i="1" s="1"/>
  <c r="BM10" i="1" l="1"/>
  <c r="K47" i="1"/>
  <c r="U13" i="1"/>
  <c r="S13" i="1"/>
  <c r="T13" i="1" s="1"/>
  <c r="Q13" i="1"/>
  <c r="AB12" i="1"/>
  <c r="BA12" i="1" s="1"/>
  <c r="BB12" i="1" s="1"/>
  <c r="BD12" i="1" s="1"/>
  <c r="Z12" i="1"/>
  <c r="AD12" i="1"/>
  <c r="AA12" i="1" l="1"/>
  <c r="AY12" i="1"/>
  <c r="AZ12" i="1" s="1"/>
  <c r="BC12" i="1" s="1"/>
  <c r="BM12" i="1" s="1"/>
  <c r="AV12" i="1"/>
  <c r="C51" i="1"/>
  <c r="K32" i="1" s="1"/>
  <c r="R13" i="1"/>
  <c r="S47" i="1"/>
  <c r="S28" i="1" s="1"/>
  <c r="W13" i="1"/>
  <c r="X13" i="1"/>
  <c r="AG12" i="1"/>
  <c r="AH12" i="1" s="1"/>
  <c r="AF12" i="1"/>
  <c r="AX12" i="1" l="1"/>
  <c r="AW12" i="1"/>
  <c r="V13" i="1"/>
  <c r="BK13" i="1"/>
  <c r="BL13" i="1" s="1"/>
  <c r="AD13" i="1" l="1"/>
  <c r="AB13" i="1"/>
  <c r="K48" i="1"/>
  <c r="Z13" i="1"/>
  <c r="AA13" i="1" l="1"/>
  <c r="S48" i="1"/>
  <c r="S29" i="1" s="1"/>
  <c r="AG13" i="1"/>
  <c r="AF13" i="1"/>
  <c r="AE13" i="1" l="1"/>
  <c r="AH13" i="1"/>
  <c r="K49" i="1" l="1"/>
  <c r="AL13" i="1"/>
  <c r="AM13" i="1" s="1"/>
  <c r="S30" i="1" l="1"/>
  <c r="K50" i="1"/>
  <c r="K53" i="1" s="1"/>
  <c r="AN13" i="1"/>
  <c r="BA13" i="1" l="1"/>
  <c r="BB13" i="1" s="1"/>
  <c r="BD13" i="1" s="1"/>
  <c r="AY13" i="1"/>
  <c r="AZ13" i="1" s="1"/>
  <c r="BC13" i="1" s="1"/>
  <c r="S50" i="1"/>
  <c r="S53" i="1" s="1"/>
  <c r="AV13" i="1"/>
  <c r="C52" i="1"/>
  <c r="S31" i="1" l="1"/>
  <c r="S34" i="1" s="1"/>
  <c r="BM13" i="1"/>
  <c r="K33" i="1"/>
  <c r="K34" i="1" s="1"/>
  <c r="C53" i="1"/>
  <c r="AX13" i="1"/>
  <c r="AW13" i="1"/>
</calcChain>
</file>

<file path=xl/sharedStrings.xml><?xml version="1.0" encoding="utf-8"?>
<sst xmlns="http://schemas.openxmlformats.org/spreadsheetml/2006/main" count="140" uniqueCount="79">
  <si>
    <t xml:space="preserve">socket      </t>
  </si>
  <si>
    <t>basic part</t>
  </si>
  <si>
    <t>crank husk</t>
  </si>
  <si>
    <t>harp leaf</t>
  </si>
  <si>
    <t xml:space="preserve">Cost  rate    €/min. </t>
  </si>
  <si>
    <t>Batch</t>
  </si>
  <si>
    <t>Batchsize</t>
  </si>
  <si>
    <t>A1</t>
  </si>
  <si>
    <t>A2</t>
  </si>
  <si>
    <t>A3</t>
  </si>
  <si>
    <t>Refinig</t>
  </si>
  <si>
    <t>Quality Check</t>
  </si>
  <si>
    <t>Rework</t>
  </si>
  <si>
    <t>Start procure Mat.</t>
  </si>
  <si>
    <t>time material procurement</t>
  </si>
  <si>
    <t>time end of process until start of material proc. Next batch</t>
  </si>
  <si>
    <t>Start process</t>
  </si>
  <si>
    <t>End process</t>
  </si>
  <si>
    <t>processing time</t>
  </si>
  <si>
    <t>processing time machine per part</t>
  </si>
  <si>
    <t>worker time</t>
  </si>
  <si>
    <t>worker time per part</t>
  </si>
  <si>
    <t>Arrival time</t>
  </si>
  <si>
    <t>waiting time</t>
  </si>
  <si>
    <t>Transportation time</t>
  </si>
  <si>
    <t>start process</t>
  </si>
  <si>
    <t>end process</t>
  </si>
  <si>
    <t>quantity (Batchsize/operated  parts)</t>
  </si>
  <si>
    <t>processing time per part</t>
  </si>
  <si>
    <t>transportation time</t>
  </si>
  <si>
    <t>Processing time per part</t>
  </si>
  <si>
    <t>t cyc</t>
  </si>
  <si>
    <t>tp</t>
  </si>
  <si>
    <t>tw</t>
  </si>
  <si>
    <t>sum of processing time per part</t>
  </si>
  <si>
    <t>processing time machine/ batch</t>
  </si>
  <si>
    <t>Processing time machine per part</t>
  </si>
  <si>
    <t>costs per part machine</t>
  </si>
  <si>
    <t>costs per part worker</t>
  </si>
  <si>
    <t>extra costs for heating per part</t>
  </si>
  <si>
    <t>cycle time socket and basic part</t>
  </si>
  <si>
    <t>costs socket per part</t>
  </si>
  <si>
    <t>costs basis per part</t>
  </si>
  <si>
    <t>cycle time crank husk</t>
  </si>
  <si>
    <t>costs crank husk per part</t>
  </si>
  <si>
    <t>cycle time harp leaf</t>
  </si>
  <si>
    <t>sum costs per part</t>
  </si>
  <si>
    <t>(1)4/4+(2)4/4</t>
  </si>
  <si>
    <t>(1)4/4+(2)4/4=8</t>
  </si>
  <si>
    <t>(3)6/6+(4)2/4</t>
  </si>
  <si>
    <t>(3)6/6+(4)2/4=8</t>
  </si>
  <si>
    <t>(4)2/4+(5)6/6=8</t>
  </si>
  <si>
    <t>(6)5/5+(7)3/4</t>
  </si>
  <si>
    <t>(6)5/5+(7)3/4=8</t>
  </si>
  <si>
    <t>(7)1/4+(8)4/4=5</t>
  </si>
  <si>
    <t>Avg</t>
  </si>
  <si>
    <t>hours</t>
  </si>
  <si>
    <t>min</t>
  </si>
  <si>
    <t>seconds</t>
  </si>
  <si>
    <t>time</t>
  </si>
  <si>
    <t>Cycle Time = Final End Time - First Start Time</t>
  </si>
  <si>
    <t>Waiting Time = Cycle time - processing Time</t>
  </si>
  <si>
    <t>Idle Time = Available time - operation Time</t>
  </si>
  <si>
    <t>Round 4</t>
  </si>
  <si>
    <t xml:space="preserve">Batch </t>
  </si>
  <si>
    <t>Cycle time per batch</t>
  </si>
  <si>
    <t>Waiting time per batch</t>
  </si>
  <si>
    <t>Workplace</t>
  </si>
  <si>
    <t>Idle time(downtimes per work place)</t>
  </si>
  <si>
    <t>Storage</t>
  </si>
  <si>
    <t>Refining</t>
  </si>
  <si>
    <t>Quality check</t>
  </si>
  <si>
    <t>Average</t>
  </si>
  <si>
    <t>Processing time per order = A1+A2+A3+Refining+Quality Check+Rework</t>
  </si>
  <si>
    <t>Available Time = Final End Time of Workplace − First Start Time of Workplace</t>
  </si>
  <si>
    <t>operation time per work place = sum(all processing times)</t>
  </si>
  <si>
    <t>Processing time per batch</t>
  </si>
  <si>
    <t>available time for staff/ workplace</t>
  </si>
  <si>
    <t>operation time per workplace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</si>
</sst>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0" borderId="2" xfId="0" applyFont="1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6" xfId="0" applyBorder="1"/>
    <xf numFmtId="49" fontId="0" fillId="0" borderId="2" xfId="0" applyNumberForma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wrapText="1"/>
    </xf>
    <xf numFmtId="49" fontId="1" fillId="4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wrapText="1"/>
    </xf>
    <xf numFmtId="49" fontId="1" fillId="0" borderId="2" xfId="0" applyNumberFormat="1" applyFont="1" applyBorder="1" applyAlignment="1">
      <alignment horizontal="center" wrapText="1"/>
    </xf>
    <xf numFmtId="49" fontId="1" fillId="5" borderId="2" xfId="0" applyNumberFormat="1" applyFont="1" applyFill="1" applyBorder="1" applyAlignment="1">
      <alignment wrapText="1"/>
    </xf>
    <xf numFmtId="49" fontId="1" fillId="6" borderId="2" xfId="0" applyNumberFormat="1" applyFont="1" applyFill="1" applyBorder="1" applyAlignment="1">
      <alignment wrapText="1"/>
    </xf>
    <xf numFmtId="49" fontId="1" fillId="7" borderId="2" xfId="0" applyNumberFormat="1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21" fontId="0" fillId="0" borderId="2" xfId="0" applyNumberFormat="1" applyBorder="1"/>
    <xf numFmtId="21" fontId="0" fillId="2" borderId="2" xfId="0" applyNumberFormat="1" applyFill="1" applyBorder="1"/>
    <xf numFmtId="21" fontId="0" fillId="3" borderId="2" xfId="0" applyNumberFormat="1" applyFill="1" applyBorder="1"/>
    <xf numFmtId="21" fontId="0" fillId="4" borderId="2" xfId="0" applyNumberFormat="1" applyFill="1" applyBorder="1"/>
    <xf numFmtId="49" fontId="1" fillId="0" borderId="2" xfId="0" applyNumberFormat="1" applyFont="1" applyBorder="1" applyAlignment="1">
      <alignment horizontal="center"/>
    </xf>
    <xf numFmtId="21" fontId="0" fillId="5" borderId="2" xfId="0" applyNumberFormat="1" applyFill="1" applyBorder="1"/>
    <xf numFmtId="21" fontId="0" fillId="6" borderId="2" xfId="0" applyNumberFormat="1" applyFill="1" applyBorder="1"/>
    <xf numFmtId="21" fontId="0" fillId="7" borderId="2" xfId="0" applyNumberFormat="1" applyFill="1" applyBorder="1"/>
    <xf numFmtId="164" fontId="0" fillId="0" borderId="2" xfId="0" applyNumberFormat="1" applyBorder="1"/>
    <xf numFmtId="2" fontId="0" fillId="0" borderId="2" xfId="0" applyNumberFormat="1" applyBorder="1"/>
    <xf numFmtId="21" fontId="1" fillId="0" borderId="2" xfId="0" applyNumberFormat="1" applyFont="1" applyBorder="1"/>
    <xf numFmtId="21" fontId="3" fillId="0" borderId="2" xfId="0" applyNumberFormat="1" applyFont="1" applyBorder="1"/>
    <xf numFmtId="21" fontId="4" fillId="0" borderId="2" xfId="0" applyNumberFormat="1" applyFont="1" applyBorder="1"/>
    <xf numFmtId="21" fontId="5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8" borderId="0" xfId="0" applyFont="1" applyFill="1"/>
    <xf numFmtId="21" fontId="3" fillId="8" borderId="0" xfId="0" applyNumberFormat="1" applyFont="1" applyFill="1"/>
    <xf numFmtId="0" fontId="3" fillId="8" borderId="0" xfId="0" applyFont="1" applyFill="1" applyAlignment="1">
      <alignment horizontal="center"/>
    </xf>
    <xf numFmtId="0" fontId="3" fillId="0" borderId="0" xfId="0" applyFont="1"/>
    <xf numFmtId="164" fontId="0" fillId="0" borderId="0" xfId="0" applyNumberFormat="1"/>
    <xf numFmtId="0" fontId="1" fillId="0" borderId="2" xfId="0" applyFont="1" applyBorder="1" applyAlignment="1">
      <alignment horizontal="center" wrapText="1"/>
    </xf>
    <xf numFmtId="46" fontId="0" fillId="0" borderId="2" xfId="0" applyNumberFormat="1" applyBorder="1"/>
    <xf numFmtId="0" fontId="0" fillId="2" borderId="2" xfId="0" applyFill="1" applyBorder="1"/>
    <xf numFmtId="0" fontId="6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9" borderId="0" xfId="0" applyFont="1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6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" fillId="2" borderId="2" xfId="0" applyFont="1" applyFill="1" applyBorder="1" applyAlignment="1"/>
    <xf numFmtId="0" fontId="0" fillId="2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39720693143809"/>
          <c:y val="0.21004270116243584"/>
          <c:w val="0.74861905401874551"/>
          <c:h val="0.64912411749556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'[1]Round_3 tabular '!$C$26:$C$33</c:f>
              <c:numCache>
                <c:formatCode>General</c:formatCode>
                <c:ptCount val="8"/>
                <c:pt idx="0">
                  <c:v>3.0451388888888889E-2</c:v>
                </c:pt>
                <c:pt idx="1">
                  <c:v>3.5613425925925923E-2</c:v>
                </c:pt>
                <c:pt idx="2">
                  <c:v>2.733796296296296E-2</c:v>
                </c:pt>
                <c:pt idx="3">
                  <c:v>2.6624228395061726E-2</c:v>
                </c:pt>
                <c:pt idx="4">
                  <c:v>4.0960165895061712E-2</c:v>
                </c:pt>
                <c:pt idx="5">
                  <c:v>4.3745418595679007E-2</c:v>
                </c:pt>
                <c:pt idx="6">
                  <c:v>4.3666329089506163E-2</c:v>
                </c:pt>
                <c:pt idx="7">
                  <c:v>4.4591483410493814E-2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B-47F2-BB5E-D6BFCBDF6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733823"/>
        <c:axId val="2066731423"/>
      </c:barChart>
      <c:catAx>
        <c:axId val="2066733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31423"/>
        <c:crosses val="autoZero"/>
        <c:auto val="1"/>
        <c:lblAlgn val="ctr"/>
        <c:lblOffset val="100"/>
        <c:noMultiLvlLbl val="0"/>
      </c:catAx>
      <c:valAx>
        <c:axId val="206673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3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'[1]Round_3 tabular '!$C$45:$C$52</c:f>
              <c:numCache>
                <c:formatCode>General</c:formatCode>
                <c:ptCount val="8"/>
                <c:pt idx="0">
                  <c:v>2.016203703703703E-2</c:v>
                </c:pt>
                <c:pt idx="1">
                  <c:v>2.540509259259259E-2</c:v>
                </c:pt>
                <c:pt idx="2">
                  <c:v>1.681712962962963E-2</c:v>
                </c:pt>
                <c:pt idx="3">
                  <c:v>1.265432098765432E-2</c:v>
                </c:pt>
                <c:pt idx="4">
                  <c:v>3.4260706018518515E-2</c:v>
                </c:pt>
                <c:pt idx="5">
                  <c:v>2.3010464891975287E-2</c:v>
                </c:pt>
                <c:pt idx="6">
                  <c:v>1.8547260802469129E-2</c:v>
                </c:pt>
                <c:pt idx="7">
                  <c:v>1.8547260802469129E-2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D-4171-A13E-90133485B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867343"/>
        <c:axId val="959867823"/>
      </c:barChart>
      <c:catAx>
        <c:axId val="959867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67823"/>
        <c:crosses val="autoZero"/>
        <c:auto val="1"/>
        <c:lblAlgn val="ctr"/>
        <c:lblOffset val="100"/>
        <c:noMultiLvlLbl val="0"/>
      </c:catAx>
      <c:valAx>
        <c:axId val="95986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6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69040936797617"/>
          <c:y val="0.18768072423618873"/>
          <c:w val="0.74126351400218093"/>
          <c:h val="0.6775450057570645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'[1]Round_3 tabular '!$K$26:$K$33</c:f>
              <c:numCache>
                <c:formatCode>General</c:formatCode>
                <c:ptCount val="8"/>
                <c:pt idx="0">
                  <c:v>1.0289351851851859E-2</c:v>
                </c:pt>
                <c:pt idx="1">
                  <c:v>1.0208333333333333E-2</c:v>
                </c:pt>
                <c:pt idx="2">
                  <c:v>1.052083333333333E-2</c:v>
                </c:pt>
                <c:pt idx="3">
                  <c:v>1.3969907407407407E-2</c:v>
                </c:pt>
                <c:pt idx="4">
                  <c:v>6.699459876543197E-3</c:v>
                </c:pt>
                <c:pt idx="5">
                  <c:v>2.0734953703703721E-2</c:v>
                </c:pt>
                <c:pt idx="6">
                  <c:v>2.5119068287037034E-2</c:v>
                </c:pt>
                <c:pt idx="7">
                  <c:v>2.6044222608024685E-2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6-40E5-9EBA-A28B7123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025343"/>
        <c:axId val="1518026783"/>
      </c:barChart>
      <c:catAx>
        <c:axId val="1518025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026783"/>
        <c:crosses val="autoZero"/>
        <c:auto val="1"/>
        <c:lblAlgn val="ctr"/>
        <c:lblOffset val="100"/>
        <c:noMultiLvlLbl val="0"/>
      </c:catAx>
      <c:valAx>
        <c:axId val="151802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02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'[1]Round_3 tabular '!$J$46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'[1]Round_3 tabular '!$K$46</c:f>
              <c:numCache>
                <c:formatCode>General</c:formatCode>
                <c:ptCount val="1"/>
                <c:pt idx="0">
                  <c:v>6.0485725308641984E-2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D-4DEF-91AD-EAD021FB9D37}"/>
            </c:ext>
          </c:extLst>
        </c:ser>
        <c:ser>
          <c:idx val="1"/>
          <c:order val="1"/>
          <c:tx>
            <c:strRef>
              <c:f>'[1]Round_3 tabular '!$J$47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'[1]Round_3 tabular '!$K$47</c:f>
              <c:numCache>
                <c:formatCode>General</c:formatCode>
                <c:ptCount val="1"/>
                <c:pt idx="0">
                  <c:v>6.9976562499999978E-2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CD-4DEF-91AD-EAD021FB9D37}"/>
            </c:ext>
          </c:extLst>
        </c:ser>
        <c:ser>
          <c:idx val="2"/>
          <c:order val="2"/>
          <c:tx>
            <c:strRef>
              <c:f>'[1]Round_3 tabular '!$J$48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'[1]Round_3 tabular '!$K$48</c:f>
              <c:numCache>
                <c:formatCode>General</c:formatCode>
                <c:ptCount val="1"/>
                <c:pt idx="0">
                  <c:v>7.1459972993827142E-2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CD-4DEF-91AD-EAD021FB9D37}"/>
            </c:ext>
          </c:extLst>
        </c:ser>
        <c:ser>
          <c:idx val="3"/>
          <c:order val="3"/>
          <c:tx>
            <c:strRef>
              <c:f>'[1]Round_3 tabular '!$J$49</c:f>
              <c:strCache>
                <c:ptCount val="1"/>
                <c:pt idx="0">
                  <c:v>Refining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'[1]Round_3 tabular '!$K$49</c:f>
              <c:numCache>
                <c:formatCode>General</c:formatCode>
                <c:ptCount val="1"/>
                <c:pt idx="0">
                  <c:v>6.0603491512345647E-2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CD-4DEF-91AD-EAD021FB9D37}"/>
            </c:ext>
          </c:extLst>
        </c:ser>
        <c:ser>
          <c:idx val="5"/>
          <c:order val="4"/>
          <c:tx>
            <c:strRef>
              <c:f>'[1]Round_3 tabular '!$J$51</c:f>
              <c:strCache>
                <c:ptCount val="1"/>
                <c:pt idx="0">
                  <c:v>Rework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'[1]Round_3 tabular '!$K$51</c:f>
              <c:numCache>
                <c:formatCode>General</c:formatCode>
                <c:ptCount val="1"/>
                <c:pt idx="0">
                  <c:v>7.4131221064814803E-2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CD-4DEF-91AD-EAD021FB9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9923215"/>
        <c:axId val="1889925135"/>
      </c:barChart>
      <c:catAx>
        <c:axId val="1889923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925135"/>
        <c:crosses val="autoZero"/>
        <c:auto val="1"/>
        <c:lblAlgn val="ctr"/>
        <c:lblOffset val="100"/>
        <c:noMultiLvlLbl val="0"/>
      </c:catAx>
      <c:valAx>
        <c:axId val="188992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92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'[1]Round_3 tabular '!$R$46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'[1]Round_3 tabular '!$S$46</c:f>
              <c:numCache>
                <c:formatCode>General</c:formatCode>
                <c:ptCount val="1"/>
                <c:pt idx="0">
                  <c:v>5.1531249999999994E-2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B-49B0-822A-A55A87E8E4CF}"/>
            </c:ext>
          </c:extLst>
        </c:ser>
        <c:ser>
          <c:idx val="1"/>
          <c:order val="1"/>
          <c:tx>
            <c:strRef>
              <c:f>'[1]Round_3 tabular '!$R$47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'[1]Round_3 tabular '!$S$47</c:f>
              <c:numCache>
                <c:formatCode>General</c:formatCode>
                <c:ptCount val="1"/>
                <c:pt idx="0">
                  <c:v>1.6459780092592569E-2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B-49B0-822A-A55A87E8E4CF}"/>
            </c:ext>
          </c:extLst>
        </c:ser>
        <c:ser>
          <c:idx val="2"/>
          <c:order val="2"/>
          <c:tx>
            <c:strRef>
              <c:f>'[1]Round_3 tabular '!$R$48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'[1]Round_3 tabular '!$S$48</c:f>
              <c:numCache>
                <c:formatCode>General</c:formatCode>
                <c:ptCount val="1"/>
                <c:pt idx="0">
                  <c:v>3.4329185956790111E-2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B-49B0-822A-A55A87E8E4CF}"/>
            </c:ext>
          </c:extLst>
        </c:ser>
        <c:ser>
          <c:idx val="3"/>
          <c:order val="3"/>
          <c:tx>
            <c:strRef>
              <c:f>'[1]Round_3 tabular '!$R$49</c:f>
              <c:strCache>
                <c:ptCount val="1"/>
                <c:pt idx="0">
                  <c:v>Refining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'[1]Round_3 tabular '!$S$49</c:f>
              <c:numCache>
                <c:formatCode>General</c:formatCode>
                <c:ptCount val="1"/>
                <c:pt idx="0">
                  <c:v>5.5555555555555532E-3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B-49B0-822A-A55A87E8E4CF}"/>
            </c:ext>
          </c:extLst>
        </c:ser>
        <c:ser>
          <c:idx val="4"/>
          <c:order val="4"/>
          <c:tx>
            <c:strRef>
              <c:f>'[1]Round_3 tabular '!$R$50</c:f>
              <c:strCache>
                <c:ptCount val="1"/>
                <c:pt idx="0">
                  <c:v>Quality check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'[1]Round_3 tabular '!$S$50</c:f>
              <c:numCache>
                <c:formatCode>General</c:formatCode>
                <c:ptCount val="1"/>
                <c:pt idx="0">
                  <c:v>1.579161844135803E-2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4B-49B0-822A-A55A87E8E4CF}"/>
            </c:ext>
          </c:extLst>
        </c:ser>
        <c:ser>
          <c:idx val="5"/>
          <c:order val="5"/>
          <c:tx>
            <c:strRef>
              <c:f>'[1]Round_3 tabular '!$R$51</c:f>
              <c:strCache>
                <c:ptCount val="1"/>
                <c:pt idx="0">
                  <c:v>Rework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'[1]Round_3 tabular '!$S$51</c:f>
              <c:numCache>
                <c:formatCode>General</c:formatCode>
                <c:ptCount val="1"/>
                <c:pt idx="0">
                  <c:v>4.5736882716049379E-2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4B-49B0-822A-A55A87E8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5406511"/>
        <c:axId val="1815408431"/>
      </c:barChart>
      <c:catAx>
        <c:axId val="181540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08431"/>
        <c:crosses val="autoZero"/>
        <c:auto val="1"/>
        <c:lblAlgn val="ctr"/>
        <c:lblOffset val="100"/>
        <c:noMultiLvlLbl val="0"/>
      </c:catAx>
      <c:valAx>
        <c:axId val="181540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0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'[1]Round_3 tabular '!$R$27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'[1]Round_3 tabular '!$S$27</c:f>
              <c:numCache>
                <c:formatCode>General</c:formatCode>
                <c:ptCount val="1"/>
                <c:pt idx="0">
                  <c:v>8.9544753086419904E-3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1-4FC1-80FB-9992A75FA0B0}"/>
            </c:ext>
          </c:extLst>
        </c:ser>
        <c:ser>
          <c:idx val="1"/>
          <c:order val="1"/>
          <c:tx>
            <c:strRef>
              <c:f>'[1]Round_3 tabular '!$R$28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'[1]Round_3 tabular '!$S$28</c:f>
              <c:numCache>
                <c:formatCode>General</c:formatCode>
                <c:ptCount val="1"/>
                <c:pt idx="0">
                  <c:v>5.3516782407407412E-2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1-4FC1-80FB-9992A75FA0B0}"/>
            </c:ext>
          </c:extLst>
        </c:ser>
        <c:ser>
          <c:idx val="2"/>
          <c:order val="2"/>
          <c:tx>
            <c:strRef>
              <c:f>'[1]Round_3 tabular '!$R$29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'[1]Round_3 tabular '!$S$29</c:f>
              <c:numCache>
                <c:formatCode>General</c:formatCode>
                <c:ptCount val="1"/>
                <c:pt idx="0">
                  <c:v>3.7130787037037032E-2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1-4FC1-80FB-9992A75FA0B0}"/>
            </c:ext>
          </c:extLst>
        </c:ser>
        <c:ser>
          <c:idx val="3"/>
          <c:order val="3"/>
          <c:tx>
            <c:strRef>
              <c:f>'[1]Round_3 tabular '!$R$30</c:f>
              <c:strCache>
                <c:ptCount val="1"/>
                <c:pt idx="0">
                  <c:v>Refining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'[1]Round_3 tabular '!$S$30</c:f>
              <c:numCache>
                <c:formatCode>General</c:formatCode>
                <c:ptCount val="1"/>
                <c:pt idx="0">
                  <c:v>5.5047935956790098E-2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1-4FC1-80FB-9992A75FA0B0}"/>
            </c:ext>
          </c:extLst>
        </c:ser>
        <c:ser>
          <c:idx val="4"/>
          <c:order val="4"/>
          <c:tx>
            <c:strRef>
              <c:f>'[1]Round_3 tabular '!$R$31</c:f>
              <c:strCache>
                <c:ptCount val="1"/>
                <c:pt idx="0">
                  <c:v>Quality check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'[1]Round_3 tabular '!$S$31</c:f>
              <c:numCache>
                <c:formatCode>General</c:formatCode>
                <c:ptCount val="1"/>
                <c:pt idx="0">
                  <c:v>4.5813994984567868E-2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1-4FC1-80FB-9992A75FA0B0}"/>
            </c:ext>
          </c:extLst>
        </c:ser>
        <c:ser>
          <c:idx val="5"/>
          <c:order val="5"/>
          <c:tx>
            <c:strRef>
              <c:f>'[1]Round_3 tabular '!$R$32</c:f>
              <c:strCache>
                <c:ptCount val="1"/>
                <c:pt idx="0">
                  <c:v>Rework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'[1]Round_3 tabular '!$S$32</c:f>
              <c:numCache>
                <c:formatCode>General</c:formatCode>
                <c:ptCount val="1"/>
                <c:pt idx="0">
                  <c:v>2.8394338348765424E-2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1-4FC1-80FB-9992A75FA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9419407"/>
        <c:axId val="1879415567"/>
      </c:barChart>
      <c:catAx>
        <c:axId val="1879419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415567"/>
        <c:crosses val="autoZero"/>
        <c:auto val="1"/>
        <c:lblAlgn val="ctr"/>
        <c:lblOffset val="100"/>
        <c:noMultiLvlLbl val="0"/>
      </c:catAx>
      <c:valAx>
        <c:axId val="187941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41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118146</xdr:colOff>
      <xdr:row>22</xdr:row>
      <xdr:rowOff>162474</xdr:rowOff>
    </xdr:from>
    <xdr:to>
      <xdr:col>7</xdr:col>
      <xdr:colOff>595312</xdr:colOff>
      <xdr:row>34</xdr:row>
      <xdr:rowOff>45794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AFDB2-F1C9-43E2-8931-E7FF87B32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127305</xdr:colOff>
      <xdr:row>41</xdr:row>
      <xdr:rowOff>162474</xdr:rowOff>
    </xdr:from>
    <xdr:to>
      <xdr:col>7</xdr:col>
      <xdr:colOff>604471</xdr:colOff>
      <xdr:row>52</xdr:row>
      <xdr:rowOff>155697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265E1-257D-42C6-A54B-928AD9B2F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82428</xdr:colOff>
      <xdr:row>22</xdr:row>
      <xdr:rowOff>162473</xdr:rowOff>
    </xdr:from>
    <xdr:to>
      <xdr:col>15</xdr:col>
      <xdr:colOff>595312</xdr:colOff>
      <xdr:row>34</xdr:row>
      <xdr:rowOff>9158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08082B-F2AA-4AB8-9DF6-CA6336FAB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36635</xdr:colOff>
      <xdr:row>41</xdr:row>
      <xdr:rowOff>155697</xdr:rowOff>
    </xdr:from>
    <xdr:to>
      <xdr:col>16</xdr:col>
      <xdr:colOff>18317</xdr:colOff>
      <xdr:row>52</xdr:row>
      <xdr:rowOff>155697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F2B6CE-CFA3-466D-BEE9-A9B120512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109904</xdr:colOff>
      <xdr:row>42</xdr:row>
      <xdr:rowOff>0</xdr:rowOff>
    </xdr:from>
    <xdr:to>
      <xdr:col>23</xdr:col>
      <xdr:colOff>604471</xdr:colOff>
      <xdr:row>52</xdr:row>
      <xdr:rowOff>155697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FDC8B6-947A-48F6-A249-832B63AAF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54951</xdr:colOff>
      <xdr:row>24</xdr:row>
      <xdr:rowOff>0</xdr:rowOff>
    </xdr:from>
    <xdr:to>
      <xdr:col>23</xdr:col>
      <xdr:colOff>576995</xdr:colOff>
      <xdr:row>34</xdr:row>
      <xdr:rowOff>54952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59C3AB-AA56-4A90-8391-F5F970DA8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359916</xdr:colOff>
      <xdr:row>0</xdr:row>
      <xdr:rowOff>0</xdr:rowOff>
    </xdr:from>
    <xdr:to>
      <xdr:col>62</xdr:col>
      <xdr:colOff>173235</xdr:colOff>
      <xdr:row>0</xdr:row>
      <xdr:rowOff>219808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F05937E-AB05-4CC4-AA8B-74FDC2EBAD6C}"/>
            </a:ext>
          </a:extLst>
        </xdr:cNvPr>
        <xdr:cNvSpPr/>
      </xdr:nvSpPr>
      <xdr:spPr>
        <a:xfrm>
          <a:off x="38155116" y="0"/>
          <a:ext cx="2777499" cy="21980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ysClr val="windowText" lastClr="000000"/>
              </a:solidFill>
            </a:rPr>
            <a:t> (capital commitment costs)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C86D81824FCFBFE/Documents/ROUND3.xlsx" TargetMode="External"/><Relationship Id="rId1" Type="http://schemas.openxmlformats.org/officeDocument/2006/relationships/externalLinkPath" Target="Documents/ROUND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und_3 tabular "/>
    </sheetNames>
    <sheetDataSet>
      <sheetData sheetId="0">
        <row r="26">
          <cell r="C26">
            <v>3.0451388888888889E-2</v>
          </cell>
          <cell r="K26">
            <v>1.0289351851851859E-2</v>
          </cell>
        </row>
        <row r="27">
          <cell r="C27">
            <v>3.5613425925925923E-2</v>
          </cell>
          <cell r="K27">
            <v>1.0208333333333333E-2</v>
          </cell>
          <cell r="R27" t="str">
            <v>A1</v>
          </cell>
          <cell r="S27">
            <v>8.9544753086419904E-3</v>
          </cell>
        </row>
        <row r="28">
          <cell r="C28">
            <v>2.733796296296296E-2</v>
          </cell>
          <cell r="K28">
            <v>1.052083333333333E-2</v>
          </cell>
          <cell r="R28" t="str">
            <v>A2</v>
          </cell>
          <cell r="S28">
            <v>5.3516782407407412E-2</v>
          </cell>
        </row>
        <row r="29">
          <cell r="C29">
            <v>2.6624228395061726E-2</v>
          </cell>
          <cell r="K29">
            <v>1.3969907407407407E-2</v>
          </cell>
          <cell r="R29" t="str">
            <v>A3</v>
          </cell>
          <cell r="S29">
            <v>3.7130787037037032E-2</v>
          </cell>
        </row>
        <row r="30">
          <cell r="C30">
            <v>4.0960165895061712E-2</v>
          </cell>
          <cell r="K30">
            <v>6.699459876543197E-3</v>
          </cell>
          <cell r="R30" t="str">
            <v>Refining</v>
          </cell>
          <cell r="S30">
            <v>5.5047935956790098E-2</v>
          </cell>
        </row>
        <row r="31">
          <cell r="C31">
            <v>4.3745418595679007E-2</v>
          </cell>
          <cell r="K31">
            <v>2.0734953703703721E-2</v>
          </cell>
          <cell r="R31" t="str">
            <v>Quality check</v>
          </cell>
          <cell r="S31">
            <v>4.5813994984567868E-2</v>
          </cell>
        </row>
        <row r="32">
          <cell r="C32">
            <v>4.3666329089506163E-2</v>
          </cell>
          <cell r="K32">
            <v>2.5119068287037034E-2</v>
          </cell>
          <cell r="R32" t="str">
            <v>Rework</v>
          </cell>
          <cell r="S32">
            <v>2.8394338348765424E-2</v>
          </cell>
        </row>
        <row r="33">
          <cell r="C33">
            <v>4.4591483410493814E-2</v>
          </cell>
          <cell r="K33">
            <v>2.6044222608024685E-2</v>
          </cell>
        </row>
        <row r="45">
          <cell r="C45">
            <v>2.016203703703703E-2</v>
          </cell>
        </row>
        <row r="46">
          <cell r="C46">
            <v>2.540509259259259E-2</v>
          </cell>
          <cell r="J46" t="str">
            <v>A1</v>
          </cell>
          <cell r="K46">
            <v>6.0485725308641984E-2</v>
          </cell>
          <cell r="R46" t="str">
            <v>A1</v>
          </cell>
          <cell r="S46">
            <v>5.1531249999999994E-2</v>
          </cell>
        </row>
        <row r="47">
          <cell r="C47">
            <v>1.681712962962963E-2</v>
          </cell>
          <cell r="J47" t="str">
            <v>A2</v>
          </cell>
          <cell r="K47">
            <v>6.9976562499999978E-2</v>
          </cell>
          <cell r="R47" t="str">
            <v>A2</v>
          </cell>
          <cell r="S47">
            <v>1.6459780092592569E-2</v>
          </cell>
        </row>
        <row r="48">
          <cell r="C48">
            <v>1.265432098765432E-2</v>
          </cell>
          <cell r="J48" t="str">
            <v>A3</v>
          </cell>
          <cell r="K48">
            <v>7.1459972993827142E-2</v>
          </cell>
          <cell r="R48" t="str">
            <v>A3</v>
          </cell>
          <cell r="S48">
            <v>3.4329185956790111E-2</v>
          </cell>
        </row>
        <row r="49">
          <cell r="C49">
            <v>3.4260706018518515E-2</v>
          </cell>
          <cell r="J49" t="str">
            <v>Refining</v>
          </cell>
          <cell r="K49">
            <v>6.0603491512345647E-2</v>
          </cell>
          <cell r="R49" t="str">
            <v>Refining</v>
          </cell>
          <cell r="S49">
            <v>5.5555555555555532E-3</v>
          </cell>
        </row>
        <row r="50">
          <cell r="C50">
            <v>2.3010464891975287E-2</v>
          </cell>
          <cell r="J50" t="str">
            <v>Quality check</v>
          </cell>
          <cell r="K50">
            <v>6.1605613425925895E-2</v>
          </cell>
          <cell r="R50" t="str">
            <v>Quality check</v>
          </cell>
          <cell r="S50">
            <v>1.579161844135803E-2</v>
          </cell>
        </row>
        <row r="51">
          <cell r="C51">
            <v>1.8547260802469129E-2</v>
          </cell>
          <cell r="J51" t="str">
            <v>Rework</v>
          </cell>
          <cell r="K51">
            <v>7.4131221064814803E-2</v>
          </cell>
          <cell r="R51" t="str">
            <v>Rework</v>
          </cell>
          <cell r="S51">
            <v>4.5736882716049379E-2</v>
          </cell>
        </row>
        <row r="52">
          <cell r="C52">
            <v>1.8547260802469129E-2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FB9C-2815-4147-9E14-BCBD325BB667}">
  <dimension ref="A1:BM53"/>
  <sheetViews>
    <sheetView tabSelected="1" topLeftCell="J37" workbookViewId="0">
      <selection activeCell="AB6" sqref="AB6"/>
    </sheetView>
  </sheetViews>
  <sheetFormatPr defaultRowHeight="14.45"/>
  <cols>
    <col min="9" max="9" width="10.140625" customWidth="1"/>
    <col min="11" max="11" width="10" customWidth="1"/>
    <col min="18" max="18" width="14.140625" customWidth="1"/>
    <col min="19" max="19" width="11.5703125" customWidth="1"/>
    <col min="23" max="23" width="11" customWidth="1"/>
    <col min="26" max="27" width="12" customWidth="1"/>
    <col min="35" max="35" width="15" customWidth="1"/>
    <col min="45" max="46" width="12" customWidth="1"/>
    <col min="50" max="50" width="12" customWidth="1"/>
    <col min="51" max="51" width="10.42578125" customWidth="1"/>
    <col min="60" max="60" width="11.5703125" customWidth="1"/>
    <col min="62" max="62" width="13.85546875" customWidth="1"/>
    <col min="64" max="64" width="11.7109375" customWidth="1"/>
  </cols>
  <sheetData>
    <row r="1" spans="1:65" ht="44.25" customHeight="1">
      <c r="BG1" s="1" t="s">
        <v>0</v>
      </c>
      <c r="BH1" s="1" t="s">
        <v>1</v>
      </c>
      <c r="BJ1" s="1" t="s">
        <v>2</v>
      </c>
      <c r="BL1" s="1" t="s">
        <v>3</v>
      </c>
    </row>
    <row r="2" spans="1:65" ht="37.5" customHeight="1">
      <c r="BA2" s="2"/>
      <c r="BB2" s="3" t="s">
        <v>4</v>
      </c>
      <c r="BC2" s="4">
        <v>0.67</v>
      </c>
      <c r="BD2" s="4">
        <v>0.33</v>
      </c>
      <c r="BE2" s="4">
        <v>8</v>
      </c>
      <c r="BF2" s="4"/>
      <c r="BG2" s="4">
        <v>0.03</v>
      </c>
      <c r="BH2" s="4">
        <v>0.02</v>
      </c>
      <c r="BI2" s="4"/>
      <c r="BJ2" s="4">
        <v>0.01</v>
      </c>
      <c r="BK2" s="4"/>
      <c r="BL2" s="4">
        <v>0.01</v>
      </c>
      <c r="BM2" s="4"/>
    </row>
    <row r="3" spans="1:65" ht="42" customHeight="1">
      <c r="BB3" s="4"/>
      <c r="BC3" s="4"/>
      <c r="BD3" s="4"/>
      <c r="BE3" s="4"/>
      <c r="BF3" s="4"/>
      <c r="BG3" s="4">
        <v>5.0000000000000001E-4</v>
      </c>
      <c r="BH3" s="4">
        <v>3.3300000000000002E-4</v>
      </c>
      <c r="BI3" s="4"/>
      <c r="BJ3" s="4">
        <v>1.6667E-4</v>
      </c>
      <c r="BK3" s="4"/>
      <c r="BL3" s="4">
        <v>1.6667E-4</v>
      </c>
      <c r="BM3" s="4"/>
    </row>
    <row r="4" spans="1:65" ht="27.75" customHeight="1">
      <c r="A4" s="4" t="s">
        <v>5</v>
      </c>
      <c r="B4" s="4" t="s">
        <v>6</v>
      </c>
      <c r="C4" s="71" t="s">
        <v>7</v>
      </c>
      <c r="D4" s="71"/>
      <c r="E4" s="71"/>
      <c r="F4" s="72"/>
      <c r="G4" s="72"/>
      <c r="H4" s="72"/>
      <c r="I4" s="72"/>
      <c r="J4" s="72"/>
      <c r="K4" s="50"/>
      <c r="L4" s="5" t="s">
        <v>8</v>
      </c>
      <c r="M4" s="6"/>
      <c r="N4" s="6"/>
      <c r="O4" s="6"/>
      <c r="P4" s="6"/>
      <c r="Q4" s="6"/>
      <c r="R4" s="6"/>
      <c r="S4" s="6"/>
      <c r="T4" s="7"/>
      <c r="U4" s="53" t="s">
        <v>9</v>
      </c>
      <c r="V4" s="54"/>
      <c r="W4" s="54"/>
      <c r="X4" s="54"/>
      <c r="Y4" s="54"/>
      <c r="Z4" s="54"/>
      <c r="AA4" s="54"/>
      <c r="AB4" s="54"/>
      <c r="AC4" s="55"/>
      <c r="AD4" s="56" t="s">
        <v>10</v>
      </c>
      <c r="AE4" s="56"/>
      <c r="AF4" s="56"/>
      <c r="AG4" s="56"/>
      <c r="AH4" s="56"/>
      <c r="AI4" s="56"/>
      <c r="AJ4" s="56"/>
      <c r="AK4" s="57" t="s">
        <v>11</v>
      </c>
      <c r="AL4" s="58"/>
      <c r="AM4" s="58"/>
      <c r="AN4" s="58"/>
      <c r="AO4" s="59"/>
      <c r="AP4" s="60" t="s">
        <v>12</v>
      </c>
      <c r="AQ4" s="61"/>
      <c r="AR4" s="61"/>
      <c r="AS4" s="61"/>
      <c r="AT4" s="62"/>
      <c r="AU4" s="8"/>
      <c r="AV4" s="8"/>
      <c r="AW4" s="8"/>
      <c r="AX4" s="4"/>
      <c r="AY4" s="9"/>
      <c r="AZ4" s="9"/>
      <c r="BA4" s="10"/>
      <c r="BB4" s="9"/>
      <c r="BC4" s="4"/>
      <c r="BD4" s="4"/>
      <c r="BE4" s="4"/>
      <c r="BF4" s="4"/>
      <c r="BG4" s="4"/>
      <c r="BH4" s="4"/>
      <c r="BI4" s="4"/>
      <c r="BJ4" s="4"/>
      <c r="BK4" s="4"/>
      <c r="BL4" s="4"/>
      <c r="BM4" s="11"/>
    </row>
    <row r="5" spans="1:65" ht="119.45">
      <c r="A5" s="12"/>
      <c r="B5" s="12"/>
      <c r="C5" s="13" t="s">
        <v>13</v>
      </c>
      <c r="D5" s="14" t="s">
        <v>14</v>
      </c>
      <c r="E5" s="15" t="s">
        <v>15</v>
      </c>
      <c r="F5" s="13" t="s">
        <v>16</v>
      </c>
      <c r="G5" s="13" t="s">
        <v>17</v>
      </c>
      <c r="H5" s="15" t="s">
        <v>18</v>
      </c>
      <c r="I5" s="15" t="s">
        <v>19</v>
      </c>
      <c r="J5" s="13" t="s">
        <v>20</v>
      </c>
      <c r="K5" s="13" t="s">
        <v>21</v>
      </c>
      <c r="L5" s="13" t="s">
        <v>13</v>
      </c>
      <c r="M5" s="16" t="s">
        <v>14</v>
      </c>
      <c r="N5" s="17" t="s">
        <v>15</v>
      </c>
      <c r="O5" s="13" t="s">
        <v>16</v>
      </c>
      <c r="P5" s="13" t="s">
        <v>17</v>
      </c>
      <c r="Q5" s="17" t="s">
        <v>18</v>
      </c>
      <c r="R5" s="17" t="s">
        <v>19</v>
      </c>
      <c r="S5" s="13" t="s">
        <v>20</v>
      </c>
      <c r="T5" s="13" t="s">
        <v>21</v>
      </c>
      <c r="U5" s="13" t="s">
        <v>13</v>
      </c>
      <c r="V5" s="18" t="s">
        <v>14</v>
      </c>
      <c r="W5" s="19" t="s">
        <v>15</v>
      </c>
      <c r="X5" s="13" t="s">
        <v>16</v>
      </c>
      <c r="Y5" s="13" t="s">
        <v>17</v>
      </c>
      <c r="Z5" s="19" t="s">
        <v>18</v>
      </c>
      <c r="AA5" s="19" t="s">
        <v>19</v>
      </c>
      <c r="AB5" s="13" t="s">
        <v>20</v>
      </c>
      <c r="AC5" s="13" t="s">
        <v>21</v>
      </c>
      <c r="AD5" s="13" t="s">
        <v>22</v>
      </c>
      <c r="AE5" s="13" t="s">
        <v>23</v>
      </c>
      <c r="AF5" s="20" t="s">
        <v>24</v>
      </c>
      <c r="AG5" s="13" t="s">
        <v>25</v>
      </c>
      <c r="AH5" s="13" t="s">
        <v>26</v>
      </c>
      <c r="AI5" s="20" t="s">
        <v>27</v>
      </c>
      <c r="AJ5" s="21" t="s">
        <v>18</v>
      </c>
      <c r="AK5" s="13" t="s">
        <v>24</v>
      </c>
      <c r="AL5" s="13" t="s">
        <v>25</v>
      </c>
      <c r="AM5" s="13" t="s">
        <v>26</v>
      </c>
      <c r="AN5" s="22" t="s">
        <v>18</v>
      </c>
      <c r="AO5" s="13" t="s">
        <v>28</v>
      </c>
      <c r="AP5" s="13" t="s">
        <v>29</v>
      </c>
      <c r="AQ5" s="13" t="s">
        <v>25</v>
      </c>
      <c r="AR5" s="13" t="s">
        <v>26</v>
      </c>
      <c r="AS5" s="23" t="s">
        <v>18</v>
      </c>
      <c r="AT5" s="13" t="s">
        <v>30</v>
      </c>
      <c r="AU5" s="13" t="s">
        <v>31</v>
      </c>
      <c r="AV5" s="13" t="s">
        <v>32</v>
      </c>
      <c r="AW5" s="13" t="s">
        <v>33</v>
      </c>
      <c r="AX5" s="13" t="s">
        <v>34</v>
      </c>
      <c r="AY5" s="9" t="s">
        <v>35</v>
      </c>
      <c r="AZ5" s="9" t="s">
        <v>36</v>
      </c>
      <c r="BA5" s="10" t="s">
        <v>20</v>
      </c>
      <c r="BB5" s="24" t="s">
        <v>21</v>
      </c>
      <c r="BC5" s="3" t="s">
        <v>37</v>
      </c>
      <c r="BD5" s="10" t="s">
        <v>38</v>
      </c>
      <c r="BE5" s="10" t="s">
        <v>39</v>
      </c>
      <c r="BF5" s="10" t="s">
        <v>40</v>
      </c>
      <c r="BG5" s="10" t="s">
        <v>41</v>
      </c>
      <c r="BH5" s="10" t="s">
        <v>42</v>
      </c>
      <c r="BI5" s="10" t="s">
        <v>43</v>
      </c>
      <c r="BJ5" s="10" t="s">
        <v>44</v>
      </c>
      <c r="BK5" s="10" t="s">
        <v>45</v>
      </c>
      <c r="BL5" s="25" t="s">
        <v>44</v>
      </c>
      <c r="BM5" s="26" t="s">
        <v>46</v>
      </c>
    </row>
    <row r="6" spans="1:65">
      <c r="A6" s="4">
        <v>1</v>
      </c>
      <c r="B6" s="4">
        <v>4</v>
      </c>
      <c r="C6" s="27">
        <v>0</v>
      </c>
      <c r="D6" s="28">
        <f>F6-C6</f>
        <v>1.0648148148148147E-3</v>
      </c>
      <c r="E6" s="28"/>
      <c r="F6" s="27">
        <v>1.0648148148148147E-3</v>
      </c>
      <c r="G6" s="27">
        <v>3.8773148148148143E-3</v>
      </c>
      <c r="H6" s="28">
        <f>G6-F6</f>
        <v>2.8124999999999999E-3</v>
      </c>
      <c r="I6" s="28">
        <f>H6/B6</f>
        <v>7.0312499999999997E-4</v>
      </c>
      <c r="J6" s="27">
        <f>G6-C6</f>
        <v>3.8773148148148143E-3</v>
      </c>
      <c r="K6" s="27">
        <f>J6/B6</f>
        <v>9.6932870370370358E-4</v>
      </c>
      <c r="L6" s="27">
        <v>4.0277777777777777E-3</v>
      </c>
      <c r="M6" s="29">
        <f>O6-L6</f>
        <v>6.9444444444444458E-4</v>
      </c>
      <c r="N6" s="29"/>
      <c r="O6" s="27">
        <v>4.7222222222222223E-3</v>
      </c>
      <c r="P6" s="27">
        <v>8.4490740740740741E-3</v>
      </c>
      <c r="Q6" s="29">
        <f>P6-O6</f>
        <v>3.7268518518518519E-3</v>
      </c>
      <c r="R6" s="29">
        <f t="shared" ref="R6:R13" si="0">Q6/B6</f>
        <v>9.3171296296296296E-4</v>
      </c>
      <c r="S6" s="27">
        <f t="shared" ref="S6:S13" si="1">P6-L6</f>
        <v>4.4212962962962964E-3</v>
      </c>
      <c r="T6" s="27">
        <f t="shared" ref="T6:T13" si="2">S6/B6</f>
        <v>1.1053240740740741E-3</v>
      </c>
      <c r="U6" s="27">
        <v>8.6226851851851846E-3</v>
      </c>
      <c r="V6" s="30">
        <f>X6-U6</f>
        <v>5.7870370370370454E-4</v>
      </c>
      <c r="W6" s="30"/>
      <c r="X6" s="27">
        <v>9.2013888888888892E-3</v>
      </c>
      <c r="Y6" s="27">
        <v>1.2673611111111111E-2</v>
      </c>
      <c r="Z6" s="30">
        <f>Y6-X6</f>
        <v>3.472222222222222E-3</v>
      </c>
      <c r="AA6" s="30">
        <f t="shared" ref="AA6:AA13" si="3">Z6/B6</f>
        <v>8.6805555555555551E-4</v>
      </c>
      <c r="AB6" s="27">
        <f>Y6-U6</f>
        <v>4.0509259259259266E-3</v>
      </c>
      <c r="AC6" s="27">
        <f>AB6/B6</f>
        <v>1.0127314814814816E-3</v>
      </c>
      <c r="AD6" s="27">
        <v>1.4247685185185184E-2</v>
      </c>
      <c r="AE6" s="27"/>
      <c r="AF6" s="27">
        <f>AD6-Y6</f>
        <v>1.5740740740740732E-3</v>
      </c>
      <c r="AG6" s="27">
        <v>2.1226851851851854E-2</v>
      </c>
      <c r="AH6" s="27">
        <v>2.1921296296296296E-2</v>
      </c>
      <c r="AI6" s="31" t="s">
        <v>47</v>
      </c>
      <c r="AJ6" s="32">
        <f>AH6-AG6</f>
        <v>6.9444444444444198E-4</v>
      </c>
      <c r="AK6" s="27">
        <f>AL6-AH6</f>
        <v>1.2731481481481621E-4</v>
      </c>
      <c r="AL6" s="27">
        <v>2.2048611111111113E-2</v>
      </c>
      <c r="AM6" s="27">
        <v>2.5208333333333333E-2</v>
      </c>
      <c r="AN6" s="33">
        <f>AM6-AL6</f>
        <v>3.15972222222222E-3</v>
      </c>
      <c r="AO6" s="27">
        <f>AN6/B6</f>
        <v>7.89930555555555E-4</v>
      </c>
      <c r="AP6" s="27">
        <f>AQ6-AM6</f>
        <v>3.3564814814815089E-4</v>
      </c>
      <c r="AQ6" s="27">
        <v>2.5543981481481483E-2</v>
      </c>
      <c r="AR6" s="27">
        <v>3.0451388888888889E-2</v>
      </c>
      <c r="AS6" s="34">
        <f>AR6-AQ6</f>
        <v>4.9074074074074055E-3</v>
      </c>
      <c r="AT6" s="27">
        <f>AS6/B6</f>
        <v>1.2268518518518514E-3</v>
      </c>
      <c r="AU6" s="27">
        <f t="shared" ref="AU6:AU13" si="4">AR6-C6</f>
        <v>3.0451388888888889E-2</v>
      </c>
      <c r="AV6" s="27">
        <f>H6+Q6+Z6+AJ6+AN6+AS6</f>
        <v>1.8773148148148143E-2</v>
      </c>
      <c r="AW6" s="27">
        <f>AU6-AV6</f>
        <v>1.1678240740740746E-2</v>
      </c>
      <c r="AX6" s="35">
        <f>(AV6-AJ6)/(B6+AJ6)</f>
        <v>4.5188913961696463E-3</v>
      </c>
      <c r="AY6" s="27">
        <f>AS6+AN6+AJ6+Z6+Q6+H6</f>
        <v>1.877314814814814E-2</v>
      </c>
      <c r="AZ6" s="27">
        <f>((AY6-AJ6)/B6)+AJ6</f>
        <v>5.2141203703703664E-3</v>
      </c>
      <c r="BA6" s="27">
        <f>AS6+AN6+AJ6+AB6+S6+J6</f>
        <v>2.1111111111111101E-2</v>
      </c>
      <c r="BB6" s="27">
        <f>((BA6-AJ6)/B6)+AJ6</f>
        <v>5.7986111111111068E-3</v>
      </c>
      <c r="BC6" s="36">
        <f>((HOUR(AZ6)*60)+MINUTE(AZ6)+(SECOND(AZ6)/60))*$BC$2</f>
        <v>5.0250000000000004</v>
      </c>
      <c r="BD6" s="36">
        <f>((HOUR(BB6)*60)+MINUTE(BB6)+(SECOND(BB6)/60))*$BD$2</f>
        <v>2.7555000000000001</v>
      </c>
      <c r="BE6" s="4">
        <f>1</f>
        <v>1</v>
      </c>
      <c r="BF6" s="27">
        <f>AR6-F6</f>
        <v>2.9386574074074075E-2</v>
      </c>
      <c r="BG6" s="36">
        <f>((HOUR(BF6)*60)+MINUTE(BF6)+(SECOND(BF6)/60))*$BG$3</f>
        <v>2.1158333333333335E-2</v>
      </c>
      <c r="BH6" s="36">
        <f>((HOUR(BF6)*60)+MINUTE(BF6)+(SECOND(BF6)/60))*$BH$3</f>
        <v>1.4091450000000002E-2</v>
      </c>
      <c r="BI6" s="27">
        <f>AR6-O6</f>
        <v>2.5729166666666668E-2</v>
      </c>
      <c r="BJ6" s="36">
        <f>((HOUR(BI6)*60)+MINUTE(BI6)+(SECOND(BI6)/60))*$BJ$3</f>
        <v>6.1751235E-3</v>
      </c>
      <c r="BK6" s="27">
        <f>AR6-X6</f>
        <v>2.1249999999999998E-2</v>
      </c>
      <c r="BL6" s="36">
        <f>((HOUR(BK6)*60)+MINUTE(BK6)+(SECOND(BK6)/60))*$BL$3</f>
        <v>5.1001020000000005E-3</v>
      </c>
      <c r="BM6" s="36">
        <f>SUM(BL6+BJ6+BH6+BG6+BE6+BD6+BC6)</f>
        <v>8.8270250088333349</v>
      </c>
    </row>
    <row r="7" spans="1:65">
      <c r="A7" s="4">
        <v>2</v>
      </c>
      <c r="B7" s="4">
        <v>4</v>
      </c>
      <c r="C7" s="27">
        <v>4.1666666666666666E-3</v>
      </c>
      <c r="D7" s="28">
        <f t="shared" ref="D7:D10" si="5">F7-C7</f>
        <v>1.2384259259259258E-3</v>
      </c>
      <c r="E7" s="28">
        <f>C7-G6</f>
        <v>2.8935185185185227E-4</v>
      </c>
      <c r="F7" s="27">
        <v>5.4050925925925924E-3</v>
      </c>
      <c r="G7" s="27">
        <v>1.4305555555555557E-2</v>
      </c>
      <c r="H7" s="28">
        <f t="shared" ref="H7:H13" si="6">G7-F7</f>
        <v>8.9004629629629642E-3</v>
      </c>
      <c r="I7" s="28">
        <f t="shared" ref="I7:I13" si="7">H7/B7</f>
        <v>2.225115740740741E-3</v>
      </c>
      <c r="J7" s="27">
        <f>G7-C7</f>
        <v>1.0138888888888892E-2</v>
      </c>
      <c r="K7" s="27">
        <f t="shared" ref="K7:K10" si="8">J7/B7</f>
        <v>2.5347222222222229E-3</v>
      </c>
      <c r="L7" s="27">
        <v>1.4398148148148148E-2</v>
      </c>
      <c r="M7" s="29">
        <f>O7-L7</f>
        <v>5.7870370370370454E-4</v>
      </c>
      <c r="N7" s="29">
        <f t="shared" ref="N7:N13" si="9">L7-P6</f>
        <v>5.9490740740740736E-3</v>
      </c>
      <c r="O7" s="27">
        <v>1.4976851851851852E-2</v>
      </c>
      <c r="P7" s="27">
        <v>1.6736111111111111E-2</v>
      </c>
      <c r="Q7" s="29">
        <f t="shared" ref="Q7:Q13" si="10">P7-O7</f>
        <v>1.759259259259259E-3</v>
      </c>
      <c r="R7" s="29">
        <f t="shared" si="0"/>
        <v>4.3981481481481476E-4</v>
      </c>
      <c r="S7" s="27">
        <f t="shared" si="1"/>
        <v>2.3379629629629636E-3</v>
      </c>
      <c r="T7" s="27">
        <f t="shared" si="2"/>
        <v>5.8449074074074089E-4</v>
      </c>
      <c r="U7" s="27">
        <v>1.6979166666666667E-2</v>
      </c>
      <c r="V7" s="30">
        <f t="shared" ref="V7:V13" si="11">X7-U7</f>
        <v>6.1342592592592698E-4</v>
      </c>
      <c r="W7" s="30">
        <f>U7-Y6</f>
        <v>4.3055555555555555E-3</v>
      </c>
      <c r="X7" s="27">
        <v>1.7592592592592594E-2</v>
      </c>
      <c r="Y7" s="27">
        <v>1.9560185185185184E-2</v>
      </c>
      <c r="Z7" s="30">
        <f t="shared" ref="Z7:Z9" si="12">Y7-X7</f>
        <v>1.9675925925925902E-3</v>
      </c>
      <c r="AA7" s="30">
        <f t="shared" si="3"/>
        <v>4.9189814814814756E-4</v>
      </c>
      <c r="AB7" s="27">
        <f t="shared" ref="AB7:AB11" si="13">Y7-U7</f>
        <v>2.5810185185185172E-3</v>
      </c>
      <c r="AC7" s="27">
        <f>AB7/B7</f>
        <v>6.452546296296293E-4</v>
      </c>
      <c r="AD7" s="27">
        <v>2.1134259259259259E-2</v>
      </c>
      <c r="AE7" s="27">
        <f>AG7-AD7</f>
        <v>9.2592592592595502E-5</v>
      </c>
      <c r="AF7" s="27">
        <f>AD7-Y7</f>
        <v>1.574074074074075E-3</v>
      </c>
      <c r="AG7" s="27">
        <v>2.1226851851851854E-2</v>
      </c>
      <c r="AH7" s="27">
        <v>2.1921296296296296E-2</v>
      </c>
      <c r="AI7" s="31" t="s">
        <v>48</v>
      </c>
      <c r="AJ7" s="32">
        <f t="shared" ref="AJ7:AJ9" si="14">AH7-AG7</f>
        <v>6.9444444444444198E-4</v>
      </c>
      <c r="AK7" s="27"/>
      <c r="AL7" s="27">
        <v>2.5208333333333333E-2</v>
      </c>
      <c r="AM7" s="27">
        <v>2.6620370370370371E-2</v>
      </c>
      <c r="AN7" s="33">
        <f t="shared" ref="AN7:AN13" si="15">AM7-AL7</f>
        <v>1.412037037037038E-3</v>
      </c>
      <c r="AO7" s="27">
        <f>AN7/B7</f>
        <v>3.5300925925925951E-4</v>
      </c>
      <c r="AP7" s="27">
        <f t="shared" ref="AP7:AP8" si="16">AQ7-AM7</f>
        <v>3.8773148148148126E-3</v>
      </c>
      <c r="AQ7" s="27">
        <v>3.0497685185185183E-2</v>
      </c>
      <c r="AR7" s="27">
        <v>3.9780092592592589E-2</v>
      </c>
      <c r="AS7" s="34">
        <f t="shared" ref="AS7:AS13" si="17">AR7-AQ7</f>
        <v>9.2824074074074059E-3</v>
      </c>
      <c r="AT7" s="27">
        <f>AS7/B7</f>
        <v>2.3206018518518515E-3</v>
      </c>
      <c r="AU7" s="27">
        <f t="shared" si="4"/>
        <v>3.5613425925925923E-2</v>
      </c>
      <c r="AV7" s="27">
        <f t="shared" ref="AV7:AV13" si="18">H7+Q7+Z7+AJ7+AN7+AS7</f>
        <v>2.4016203703703699E-2</v>
      </c>
      <c r="AW7" s="27">
        <f t="shared" ref="AW7:AW11" si="19">AU7-AV7</f>
        <v>1.1597222222222224E-2</v>
      </c>
      <c r="AX7" s="35">
        <f t="shared" ref="AX7:AX13" si="20">(AV7-AJ7)/(B7+AJ7)</f>
        <v>5.8294277613840191E-3</v>
      </c>
      <c r="AY7" s="27">
        <f t="shared" ref="AY7:AY13" si="21">AS7+AN7+AJ7+Z7+Q7+H7</f>
        <v>2.4016203703703699E-2</v>
      </c>
      <c r="AZ7" s="27">
        <f t="shared" ref="AZ7:AZ13" si="22">((AY7-AJ7)/B7)+AJ7</f>
        <v>6.5248842592592563E-3</v>
      </c>
      <c r="BA7" s="27">
        <f t="shared" ref="BA7:BA13" si="23">AS7+AN7+AJ7+AB7+S7+J7</f>
        <v>2.644675925925926E-2</v>
      </c>
      <c r="BB7" s="27">
        <f t="shared" ref="BB7:BB13" si="24">((BA7-AJ7)/B7)+AJ7</f>
        <v>7.1325231481481465E-3</v>
      </c>
      <c r="BC7" s="36">
        <f t="shared" ref="BC7:BC13" si="25">((HOUR(AZ7)*60)+MINUTE(AZ7)+(SECOND(AZ7)/60))*$BC$2</f>
        <v>6.2980000000000009</v>
      </c>
      <c r="BD7" s="36">
        <f t="shared" ref="BD7:BD13" si="26">((HOUR(BB7)*60)+MINUTE(BB7)+(SECOND(BB7)/60))*$BD$2</f>
        <v>3.3880000000000003</v>
      </c>
      <c r="BE7" s="4">
        <f>1</f>
        <v>1</v>
      </c>
      <c r="BF7" s="27">
        <f t="shared" ref="BF7:BF13" si="27">AR7-F7</f>
        <v>3.4374999999999996E-2</v>
      </c>
      <c r="BG7" s="36">
        <f t="shared" ref="BG7:BG13" si="28">((HOUR(BF7)*60)+MINUTE(BF7)+(SECOND(BF7)/60))*$BG$3</f>
        <v>2.4750000000000001E-2</v>
      </c>
      <c r="BH7" s="36">
        <f t="shared" ref="BH7:BH13" si="29">((HOUR(BF7)*60)+MINUTE(BF7)+(SECOND(BF7)/60))*$BH$3</f>
        <v>1.6483500000000002E-2</v>
      </c>
      <c r="BI7" s="27">
        <f t="shared" ref="BI7:BI13" si="30">AR7-O7</f>
        <v>2.4803240740740737E-2</v>
      </c>
      <c r="BJ7" s="36">
        <f t="shared" ref="BJ7:BJ13" si="31">((HOUR(BI7)*60)+MINUTE(BI7)+(SECOND(BI7)/60))*$BJ$3</f>
        <v>5.9528968333333338E-3</v>
      </c>
      <c r="BK7" s="27">
        <f t="shared" ref="BK7:BK13" si="32">AR7-X7</f>
        <v>2.2187499999999995E-2</v>
      </c>
      <c r="BL7" s="36">
        <f t="shared" ref="BL7:BL13" si="33">((HOUR(BK7)*60)+MINUTE(BK7)+(SECOND(BK7)/60))*$BL$3</f>
        <v>5.3251065000000002E-3</v>
      </c>
      <c r="BM7" s="36">
        <f t="shared" ref="BM7:BM13" si="34">SUM(BL7+BJ7+BH7+BG7+BE7+BD7+BC7)</f>
        <v>10.738511503333335</v>
      </c>
    </row>
    <row r="8" spans="1:65">
      <c r="A8" s="4">
        <v>3</v>
      </c>
      <c r="B8" s="4">
        <v>6</v>
      </c>
      <c r="C8" s="37">
        <v>1.4351851851851852E-2</v>
      </c>
      <c r="D8" s="28">
        <f t="shared" si="5"/>
        <v>1.3310185185185196E-3</v>
      </c>
      <c r="E8" s="28">
        <f t="shared" ref="E8:E11" si="35">C8-G7</f>
        <v>4.6296296296294281E-5</v>
      </c>
      <c r="F8" s="27">
        <v>1.5682870370370371E-2</v>
      </c>
      <c r="G8" s="37">
        <v>1.996527777777778E-2</v>
      </c>
      <c r="H8" s="28">
        <f t="shared" si="6"/>
        <v>4.2824074074074084E-3</v>
      </c>
      <c r="I8" s="28">
        <f t="shared" si="7"/>
        <v>7.1373456790123477E-4</v>
      </c>
      <c r="J8" s="27">
        <f t="shared" ref="J8:J13" si="36">G8-C8</f>
        <v>5.613425925925928E-3</v>
      </c>
      <c r="K8" s="27">
        <f t="shared" si="8"/>
        <v>9.3557098765432133E-4</v>
      </c>
      <c r="L8" s="27">
        <v>2.0196759259259258E-2</v>
      </c>
      <c r="M8" s="29">
        <f>O8-L8</f>
        <v>7.6388888888889034E-4</v>
      </c>
      <c r="N8" s="29">
        <f t="shared" si="9"/>
        <v>3.4606481481481467E-3</v>
      </c>
      <c r="O8" s="27">
        <v>2.0960648148148148E-2</v>
      </c>
      <c r="P8" s="27">
        <v>2.2488425925925926E-2</v>
      </c>
      <c r="Q8" s="29">
        <f t="shared" si="10"/>
        <v>1.5277777777777772E-3</v>
      </c>
      <c r="R8" s="29">
        <f t="shared" si="0"/>
        <v>2.5462962962962955E-4</v>
      </c>
      <c r="S8" s="27">
        <f t="shared" si="1"/>
        <v>2.2916666666666675E-3</v>
      </c>
      <c r="T8" s="27">
        <f t="shared" si="2"/>
        <v>3.8194444444444457E-4</v>
      </c>
      <c r="U8" s="27">
        <v>2.2800925925925929E-2</v>
      </c>
      <c r="V8" s="30">
        <f t="shared" si="11"/>
        <v>5.7870370370369933E-4</v>
      </c>
      <c r="W8" s="30">
        <f t="shared" ref="W8:W13" si="37">U8-Y7</f>
        <v>3.2407407407407454E-3</v>
      </c>
      <c r="X8" s="27">
        <v>2.3379629629629629E-2</v>
      </c>
      <c r="Y8" s="27">
        <v>2.7314814814814816E-2</v>
      </c>
      <c r="Z8" s="30">
        <f t="shared" si="12"/>
        <v>3.9351851851851874E-3</v>
      </c>
      <c r="AA8" s="30">
        <f t="shared" si="3"/>
        <v>6.5586419753086453E-4</v>
      </c>
      <c r="AB8" s="27">
        <f t="shared" si="13"/>
        <v>4.5138888888888867E-3</v>
      </c>
      <c r="AC8" s="27">
        <f>AB8/B8</f>
        <v>7.5231481481481449E-4</v>
      </c>
      <c r="AD8" s="27">
        <v>2.9456018518518517E-2</v>
      </c>
      <c r="AE8" s="27"/>
      <c r="AF8" s="27">
        <f>AD8-Y8</f>
        <v>2.1412037037037007E-3</v>
      </c>
      <c r="AG8" s="27">
        <v>3.3240740740740744E-2</v>
      </c>
      <c r="AH8" s="27">
        <v>3.3935185185185186E-2</v>
      </c>
      <c r="AI8" s="31" t="s">
        <v>49</v>
      </c>
      <c r="AJ8" s="32">
        <f t="shared" si="14"/>
        <v>6.9444444444444198E-4</v>
      </c>
      <c r="AK8" s="27">
        <f t="shared" ref="AK8:AK10" si="38">AL8-AH8</f>
        <v>9.2592592592588563E-5</v>
      </c>
      <c r="AL8" s="27">
        <v>3.4027777777777775E-2</v>
      </c>
      <c r="AM8" s="27">
        <v>3.6412037037037034E-2</v>
      </c>
      <c r="AN8" s="33">
        <f t="shared" si="15"/>
        <v>2.3842592592592596E-3</v>
      </c>
      <c r="AO8" s="27">
        <f>AN8/B8</f>
        <v>3.9737654320987661E-4</v>
      </c>
      <c r="AP8" s="27">
        <f t="shared" si="16"/>
        <v>3.3680555555555547E-3</v>
      </c>
      <c r="AQ8" s="27">
        <v>3.9780092592592589E-2</v>
      </c>
      <c r="AR8" s="27">
        <v>4.1689814814814811E-2</v>
      </c>
      <c r="AS8" s="34">
        <f t="shared" si="17"/>
        <v>1.9097222222222224E-3</v>
      </c>
      <c r="AT8" s="27">
        <f>AS8/B8</f>
        <v>3.1828703703703706E-4</v>
      </c>
      <c r="AU8" s="27">
        <f t="shared" si="4"/>
        <v>2.733796296296296E-2</v>
      </c>
      <c r="AV8" s="27">
        <f t="shared" si="18"/>
        <v>1.4733796296296297E-2</v>
      </c>
      <c r="AW8" s="27">
        <f t="shared" si="19"/>
        <v>1.2604166666666663E-2</v>
      </c>
      <c r="AX8" s="35">
        <f t="shared" si="20"/>
        <v>2.339621185819543E-3</v>
      </c>
      <c r="AY8" s="27">
        <f t="shared" si="21"/>
        <v>1.4733796296296297E-2</v>
      </c>
      <c r="AZ8" s="27">
        <f>((AY8-AJ8)/B8)+AJ8</f>
        <v>3.0343364197530846E-3</v>
      </c>
      <c r="BA8" s="27">
        <f t="shared" si="23"/>
        <v>1.7407407407407406E-2</v>
      </c>
      <c r="BB8" s="27">
        <f t="shared" si="24"/>
        <v>3.4799382716049362E-3</v>
      </c>
      <c r="BC8" s="36">
        <f t="shared" si="25"/>
        <v>2.9256666666666664</v>
      </c>
      <c r="BD8" s="36">
        <f t="shared" si="26"/>
        <v>1.6555</v>
      </c>
      <c r="BE8" s="4">
        <f>1</f>
        <v>1</v>
      </c>
      <c r="BF8" s="27">
        <f t="shared" si="27"/>
        <v>2.600694444444444E-2</v>
      </c>
      <c r="BG8" s="36">
        <f t="shared" si="28"/>
        <v>1.8725000000000002E-2</v>
      </c>
      <c r="BH8" s="36">
        <f t="shared" si="29"/>
        <v>1.2470850000000002E-2</v>
      </c>
      <c r="BI8" s="27">
        <f t="shared" si="30"/>
        <v>2.0729166666666663E-2</v>
      </c>
      <c r="BJ8" s="36">
        <f t="shared" si="31"/>
        <v>4.9750994999999999E-3</v>
      </c>
      <c r="BK8" s="27">
        <f t="shared" si="32"/>
        <v>1.8310185185185183E-2</v>
      </c>
      <c r="BL8" s="36">
        <f t="shared" si="33"/>
        <v>4.3945323333333336E-3</v>
      </c>
      <c r="BM8" s="36">
        <f t="shared" si="34"/>
        <v>5.6217321484999996</v>
      </c>
    </row>
    <row r="9" spans="1:65">
      <c r="A9" s="4">
        <v>4</v>
      </c>
      <c r="B9" s="4">
        <v>4</v>
      </c>
      <c r="C9" s="27">
        <v>2.0231481481481482E-2</v>
      </c>
      <c r="D9" s="28">
        <f t="shared" si="5"/>
        <v>6.2499999999999709E-4</v>
      </c>
      <c r="E9" s="28">
        <f t="shared" si="35"/>
        <v>2.6620370370370253E-4</v>
      </c>
      <c r="F9" s="27">
        <v>2.0856481481481479E-2</v>
      </c>
      <c r="G9" s="27">
        <v>2.3634259259259258E-2</v>
      </c>
      <c r="H9" s="28">
        <f t="shared" si="6"/>
        <v>2.7777777777777783E-3</v>
      </c>
      <c r="I9" s="28">
        <f t="shared" si="7"/>
        <v>6.9444444444444458E-4</v>
      </c>
      <c r="J9" s="27">
        <f t="shared" si="36"/>
        <v>3.4027777777777754E-3</v>
      </c>
      <c r="K9" s="27">
        <f t="shared" si="8"/>
        <v>8.5069444444444385E-4</v>
      </c>
      <c r="L9" s="27">
        <v>2.3819444444444445E-2</v>
      </c>
      <c r="M9" s="29">
        <f>O9-L9</f>
        <v>1.2152777777777769E-3</v>
      </c>
      <c r="N9" s="29">
        <f t="shared" si="9"/>
        <v>1.3310185185185196E-3</v>
      </c>
      <c r="O9" s="27">
        <v>2.5034722222222222E-2</v>
      </c>
      <c r="P9" s="27">
        <v>2.5821759259259256E-2</v>
      </c>
      <c r="Q9" s="29">
        <f t="shared" si="10"/>
        <v>7.8703703703703401E-4</v>
      </c>
      <c r="R9" s="29">
        <f t="shared" si="0"/>
        <v>1.967592592592585E-4</v>
      </c>
      <c r="S9" s="27">
        <f t="shared" si="1"/>
        <v>2.0023148148148109E-3</v>
      </c>
      <c r="T9" s="27">
        <f t="shared" si="2"/>
        <v>5.0057870370370273E-4</v>
      </c>
      <c r="U9" s="27">
        <v>2.9629629629629627E-2</v>
      </c>
      <c r="V9" s="30">
        <f t="shared" si="11"/>
        <v>6.3657407407408106E-4</v>
      </c>
      <c r="W9" s="30">
        <f t="shared" si="37"/>
        <v>2.3148148148148112E-3</v>
      </c>
      <c r="X9" s="27">
        <v>3.0266203703703708E-2</v>
      </c>
      <c r="Y9" s="27">
        <v>3.142361111111111E-2</v>
      </c>
      <c r="Z9" s="30">
        <f t="shared" si="12"/>
        <v>1.1574074074074021E-3</v>
      </c>
      <c r="AA9" s="30">
        <f t="shared" si="3"/>
        <v>2.8935185185185053E-4</v>
      </c>
      <c r="AB9" s="27">
        <f t="shared" si="13"/>
        <v>1.7939814814814832E-3</v>
      </c>
      <c r="AC9" s="27">
        <f>AB9/B9</f>
        <v>4.484953703703708E-4</v>
      </c>
      <c r="AD9" s="27">
        <v>3.318287037037037E-2</v>
      </c>
      <c r="AE9" s="27">
        <f>AG9-AD9</f>
        <v>5.7870370370367852E-5</v>
      </c>
      <c r="AF9" s="27">
        <f>AD9-Y9</f>
        <v>1.759259259259259E-3</v>
      </c>
      <c r="AG9" s="27">
        <v>3.3240740740740737E-2</v>
      </c>
      <c r="AH9" s="27">
        <v>3.3935185185185186E-2</v>
      </c>
      <c r="AI9" s="31" t="s">
        <v>50</v>
      </c>
      <c r="AJ9" s="32">
        <f t="shared" si="14"/>
        <v>6.9444444444444892E-4</v>
      </c>
      <c r="AK9" s="27"/>
      <c r="AL9" s="38">
        <v>3.6412037037037034E-2</v>
      </c>
      <c r="AM9" s="38">
        <v>3.7106481481481483E-2</v>
      </c>
      <c r="AN9" s="33">
        <f t="shared" si="15"/>
        <v>6.9444444444444892E-4</v>
      </c>
      <c r="AO9" s="27">
        <f>AN9/B9</f>
        <v>1.7361111111111223E-4</v>
      </c>
      <c r="AP9" s="27"/>
      <c r="AQ9" s="39">
        <v>4.1701388888888892E-2</v>
      </c>
      <c r="AR9" s="39">
        <f>AQ9+($AT$15*B9)</f>
        <v>4.6855709876543208E-2</v>
      </c>
      <c r="AS9" s="34">
        <f>AR9-AQ9</f>
        <v>5.1543209876543164E-3</v>
      </c>
      <c r="AT9" s="27">
        <f>AS9/B9</f>
        <v>1.2885802469135791E-3</v>
      </c>
      <c r="AU9" s="27">
        <f t="shared" si="4"/>
        <v>2.6624228395061726E-2</v>
      </c>
      <c r="AV9" s="27">
        <f t="shared" si="18"/>
        <v>1.1265432098765429E-2</v>
      </c>
      <c r="AW9" s="27">
        <f t="shared" si="19"/>
        <v>1.5358796296296297E-2</v>
      </c>
      <c r="AX9" s="35">
        <f t="shared" si="20"/>
        <v>2.6422881829929199E-3</v>
      </c>
      <c r="AY9" s="27">
        <f t="shared" si="21"/>
        <v>1.1265432098765429E-2</v>
      </c>
      <c r="AZ9" s="27">
        <f t="shared" si="22"/>
        <v>3.3371913580246939E-3</v>
      </c>
      <c r="BA9" s="27">
        <f t="shared" si="23"/>
        <v>1.3742283950617284E-2</v>
      </c>
      <c r="BB9" s="27">
        <f t="shared" si="24"/>
        <v>3.9564043209876576E-3</v>
      </c>
      <c r="BC9" s="36">
        <f t="shared" si="25"/>
        <v>3.2160000000000002</v>
      </c>
      <c r="BD9" s="36">
        <f t="shared" si="26"/>
        <v>1.8810000000000002</v>
      </c>
      <c r="BE9" s="4">
        <f>1</f>
        <v>1</v>
      </c>
      <c r="BF9" s="27">
        <f t="shared" si="27"/>
        <v>2.5999228395061729E-2</v>
      </c>
      <c r="BG9" s="36">
        <f t="shared" si="28"/>
        <v>1.8716666666666666E-2</v>
      </c>
      <c r="BH9" s="36">
        <f t="shared" si="29"/>
        <v>1.24653E-2</v>
      </c>
      <c r="BI9" s="27">
        <f t="shared" si="30"/>
        <v>2.1820987654320986E-2</v>
      </c>
      <c r="BJ9" s="36">
        <f t="shared" si="31"/>
        <v>5.2362158333333336E-3</v>
      </c>
      <c r="BK9" s="27">
        <f t="shared" si="32"/>
        <v>1.65895061728395E-2</v>
      </c>
      <c r="BL9" s="36">
        <f t="shared" si="33"/>
        <v>3.9806351666666663E-3</v>
      </c>
      <c r="BM9" s="36">
        <f t="shared" si="34"/>
        <v>6.137398817666667</v>
      </c>
    </row>
    <row r="10" spans="1:65">
      <c r="A10" s="4">
        <v>5</v>
      </c>
      <c r="B10" s="4">
        <v>6</v>
      </c>
      <c r="C10" s="27">
        <v>2.3842592592592596E-2</v>
      </c>
      <c r="D10" s="28">
        <f t="shared" si="5"/>
        <v>1.0995370370370343E-3</v>
      </c>
      <c r="E10" s="28">
        <f t="shared" si="35"/>
        <v>2.0833333333333814E-4</v>
      </c>
      <c r="F10" s="27">
        <v>2.494212962962963E-2</v>
      </c>
      <c r="G10" s="27">
        <v>3.9930555555555552E-2</v>
      </c>
      <c r="H10" s="28">
        <f t="shared" si="6"/>
        <v>1.4988425925925922E-2</v>
      </c>
      <c r="I10" s="28">
        <f t="shared" si="7"/>
        <v>2.4980709876543205E-3</v>
      </c>
      <c r="J10" s="27">
        <f t="shared" si="36"/>
        <v>1.6087962962962957E-2</v>
      </c>
      <c r="K10" s="27">
        <f t="shared" si="8"/>
        <v>2.681327160493826E-3</v>
      </c>
      <c r="L10" s="27">
        <v>4.0034722222222222E-2</v>
      </c>
      <c r="M10" s="29">
        <f>O10-L10</f>
        <v>1.1574074074074264E-4</v>
      </c>
      <c r="N10" s="29">
        <f t="shared" si="9"/>
        <v>1.4212962962962965E-2</v>
      </c>
      <c r="O10" s="27">
        <v>4.0150462962962964E-2</v>
      </c>
      <c r="P10" s="39">
        <f>O10+(B10*$R$15)</f>
        <v>4.2884837962962961E-2</v>
      </c>
      <c r="Q10" s="29">
        <f t="shared" si="10"/>
        <v>2.7343749999999972E-3</v>
      </c>
      <c r="R10" s="29">
        <f t="shared" si="0"/>
        <v>4.5572916666666619E-4</v>
      </c>
      <c r="S10" s="27">
        <f t="shared" si="1"/>
        <v>2.8501157407407399E-3</v>
      </c>
      <c r="T10" s="27">
        <f t="shared" si="2"/>
        <v>4.7501929012345664E-4</v>
      </c>
      <c r="U10" s="39">
        <f>P10+$W$15</f>
        <v>4.6171875000000001E-2</v>
      </c>
      <c r="V10" s="30">
        <f t="shared" si="11"/>
        <v>6.0185185185185341E-4</v>
      </c>
      <c r="W10" s="30">
        <f t="shared" si="37"/>
        <v>1.4748263888888891E-2</v>
      </c>
      <c r="X10" s="39">
        <f>$V$15+U10</f>
        <v>4.6773726851851855E-2</v>
      </c>
      <c r="Y10" s="39">
        <v>4.8148148148148148E-2</v>
      </c>
      <c r="Z10" s="30">
        <f>Y10-X10</f>
        <v>1.3744212962962937E-3</v>
      </c>
      <c r="AA10" s="30">
        <f t="shared" si="3"/>
        <v>2.290702160493823E-4</v>
      </c>
      <c r="AB10" s="27">
        <f>Y10-U10</f>
        <v>1.9762731481481471E-3</v>
      </c>
      <c r="AC10" s="27"/>
      <c r="AD10" s="39">
        <f>Y10+$AF$15</f>
        <v>4.9910300925925924E-2</v>
      </c>
      <c r="AE10" s="27"/>
      <c r="AF10" s="27">
        <f t="shared" ref="AF10:AF13" si="39">AD10-Y10</f>
        <v>1.7621527777777757E-3</v>
      </c>
      <c r="AG10" s="39">
        <f>AD10+$AE$15+$AF$15</f>
        <v>5.1747685185185181E-2</v>
      </c>
      <c r="AH10" s="39">
        <f>AG10+AJ10</f>
        <v>5.2442129629629623E-2</v>
      </c>
      <c r="AI10" s="31" t="s">
        <v>51</v>
      </c>
      <c r="AJ10" s="32">
        <v>6.9444444444444447E-4</v>
      </c>
      <c r="AK10" s="27">
        <f t="shared" si="38"/>
        <v>1.0995370370370239E-4</v>
      </c>
      <c r="AL10" s="39">
        <f>AH10+$AK$15</f>
        <v>5.2552083333333326E-2</v>
      </c>
      <c r="AM10" s="39">
        <f>AL10+($AO$15*B10)</f>
        <v>5.5122974537037031E-2</v>
      </c>
      <c r="AN10" s="33">
        <f t="shared" si="15"/>
        <v>2.5708912037037054E-3</v>
      </c>
      <c r="AO10" s="27"/>
      <c r="AP10" s="27"/>
      <c r="AQ10" s="39">
        <f t="shared" ref="AQ10:AQ11" si="40">AM10+$AP$15</f>
        <v>5.7649980709876536E-2</v>
      </c>
      <c r="AR10" s="39">
        <f>AQ10+($AT$15*B10)</f>
        <v>6.5381462191358014E-2</v>
      </c>
      <c r="AS10" s="34">
        <f t="shared" si="17"/>
        <v>7.7314814814814781E-3</v>
      </c>
      <c r="AT10" s="27"/>
      <c r="AU10" s="27">
        <f t="shared" si="4"/>
        <v>4.1538869598765418E-2</v>
      </c>
      <c r="AV10" s="27">
        <f>H10+Q10+Z10+AJ10+AN10+AS10</f>
        <v>3.0094039351851842E-2</v>
      </c>
      <c r="AW10" s="27">
        <f>AU10-AV10</f>
        <v>1.1444830246913576E-2</v>
      </c>
      <c r="AX10" s="35">
        <f t="shared" si="20"/>
        <v>4.8993654283840593E-3</v>
      </c>
      <c r="AY10" s="27">
        <f t="shared" si="21"/>
        <v>3.0094039351851842E-2</v>
      </c>
      <c r="AZ10" s="27">
        <f t="shared" si="22"/>
        <v>5.5943769290123443E-3</v>
      </c>
      <c r="BA10" s="27">
        <f t="shared" si="23"/>
        <v>3.1911168981481469E-2</v>
      </c>
      <c r="BB10" s="27">
        <f t="shared" si="24"/>
        <v>5.8972318672839488E-3</v>
      </c>
      <c r="BC10" s="36">
        <f t="shared" si="25"/>
        <v>5.3935000000000004</v>
      </c>
      <c r="BD10" s="36">
        <f t="shared" si="26"/>
        <v>2.8050000000000002</v>
      </c>
      <c r="BE10" s="4">
        <f>1</f>
        <v>1</v>
      </c>
      <c r="BF10" s="27">
        <f t="shared" si="27"/>
        <v>4.0439332561728381E-2</v>
      </c>
      <c r="BG10" s="36">
        <f t="shared" si="28"/>
        <v>2.9116666666666669E-2</v>
      </c>
      <c r="BH10" s="36">
        <f t="shared" si="29"/>
        <v>1.9391700000000001E-2</v>
      </c>
      <c r="BI10" s="27">
        <f t="shared" si="30"/>
        <v>2.523099922839505E-2</v>
      </c>
      <c r="BJ10" s="36">
        <f t="shared" si="31"/>
        <v>6.0556766666666675E-3</v>
      </c>
      <c r="BK10" s="27">
        <f t="shared" si="32"/>
        <v>1.860773533950616E-2</v>
      </c>
      <c r="BL10" s="36">
        <f t="shared" si="33"/>
        <v>4.4667560000000005E-3</v>
      </c>
      <c r="BM10" s="36">
        <f t="shared" si="34"/>
        <v>9.2575307993333347</v>
      </c>
    </row>
    <row r="11" spans="1:65">
      <c r="A11" s="4">
        <v>6</v>
      </c>
      <c r="B11" s="4">
        <v>5</v>
      </c>
      <c r="C11" s="27">
        <v>4.0567129629629627E-2</v>
      </c>
      <c r="D11" s="28">
        <f>F11-C11</f>
        <v>6.3657407407408106E-4</v>
      </c>
      <c r="E11" s="28">
        <f t="shared" si="35"/>
        <v>6.3657407407407413E-4</v>
      </c>
      <c r="F11" s="27">
        <v>4.1203703703703708E-2</v>
      </c>
      <c r="G11" s="40">
        <f>F11+($I$15*B11)</f>
        <v>4.8038194444444446E-2</v>
      </c>
      <c r="H11" s="28">
        <f t="shared" si="6"/>
        <v>6.8344907407407382E-3</v>
      </c>
      <c r="I11" s="28">
        <f t="shared" si="7"/>
        <v>1.3668981481481477E-3</v>
      </c>
      <c r="J11" s="27">
        <f t="shared" si="36"/>
        <v>7.4710648148148193E-3</v>
      </c>
      <c r="K11" s="27"/>
      <c r="L11" s="39">
        <f>G11+$N$15</f>
        <v>5.4276620370370371E-2</v>
      </c>
      <c r="M11" s="29">
        <f t="shared" ref="M11:M13" si="41">O11-L11</f>
        <v>6.7361111111111094E-4</v>
      </c>
      <c r="N11" s="29">
        <f>L11-P10</f>
        <v>1.1391782407407409E-2</v>
      </c>
      <c r="O11" s="27">
        <f>$M$15+L11</f>
        <v>5.4950231481481482E-2</v>
      </c>
      <c r="P11" s="39">
        <f>O11+(B11*$R$15)</f>
        <v>5.7228877314814811E-2</v>
      </c>
      <c r="Q11" s="29">
        <f t="shared" si="10"/>
        <v>2.2786458333333287E-3</v>
      </c>
      <c r="R11" s="29">
        <f t="shared" si="0"/>
        <v>4.5572916666666575E-4</v>
      </c>
      <c r="S11" s="27">
        <f t="shared" si="1"/>
        <v>2.9522569444444396E-3</v>
      </c>
      <c r="T11" s="27">
        <f t="shared" si="2"/>
        <v>5.9045138888888797E-4</v>
      </c>
      <c r="U11" s="39">
        <f>P11+$W$15</f>
        <v>6.051591435185185E-2</v>
      </c>
      <c r="V11" s="30">
        <f t="shared" si="11"/>
        <v>6.0185185185185341E-4</v>
      </c>
      <c r="W11" s="30">
        <f t="shared" si="37"/>
        <v>1.2367766203703702E-2</v>
      </c>
      <c r="X11" s="39">
        <f t="shared" ref="X11:X13" si="42">$V$15+U11</f>
        <v>6.1117766203703704E-2</v>
      </c>
      <c r="Y11" s="39">
        <v>6.2523148148148147E-2</v>
      </c>
      <c r="Z11" s="30">
        <f>Y11-X11</f>
        <v>1.4053819444444435E-3</v>
      </c>
      <c r="AA11" s="30">
        <f t="shared" si="3"/>
        <v>2.8107638888888871E-4</v>
      </c>
      <c r="AB11" s="27">
        <f t="shared" si="13"/>
        <v>2.0072337962962969E-3</v>
      </c>
      <c r="AC11" s="27"/>
      <c r="AD11" s="39">
        <f t="shared" ref="AD11:AD13" si="43">Y11+$AF$15</f>
        <v>6.4285300925925923E-2</v>
      </c>
      <c r="AE11" s="27">
        <f>AG11-AD11</f>
        <v>8.110532407407417E-3</v>
      </c>
      <c r="AF11" s="27">
        <f t="shared" si="39"/>
        <v>1.7621527777777757E-3</v>
      </c>
      <c r="AG11" s="39">
        <v>7.239583333333334E-2</v>
      </c>
      <c r="AH11" s="39">
        <v>7.3090277777777782E-2</v>
      </c>
      <c r="AI11" s="31" t="s">
        <v>52</v>
      </c>
      <c r="AJ11" s="32">
        <v>6.9444444444444447E-4</v>
      </c>
      <c r="AK11" s="27"/>
      <c r="AL11" s="39">
        <f>AH11+$AK$15</f>
        <v>7.3200231481481484E-2</v>
      </c>
      <c r="AM11" s="39">
        <f>AL11+($AO$15*B11)</f>
        <v>7.5342640817901235E-2</v>
      </c>
      <c r="AN11" s="33">
        <f t="shared" si="15"/>
        <v>2.1424093364197511E-3</v>
      </c>
      <c r="AO11" s="27"/>
      <c r="AP11" s="27"/>
      <c r="AQ11" s="39">
        <f t="shared" si="40"/>
        <v>7.786964699074074E-2</v>
      </c>
      <c r="AR11" s="39">
        <f>AQ11+($AT$15*B11)</f>
        <v>8.4312548225308634E-2</v>
      </c>
      <c r="AS11" s="34">
        <f t="shared" si="17"/>
        <v>6.4429012345678938E-3</v>
      </c>
      <c r="AT11" s="27"/>
      <c r="AU11" s="27">
        <f t="shared" si="4"/>
        <v>4.3745418595679007E-2</v>
      </c>
      <c r="AV11" s="27">
        <f t="shared" si="18"/>
        <v>1.9798273533950597E-2</v>
      </c>
      <c r="AW11" s="27">
        <f t="shared" si="19"/>
        <v>2.394714506172841E-2</v>
      </c>
      <c r="AX11" s="35">
        <f t="shared" si="20"/>
        <v>3.8202352296748867E-3</v>
      </c>
      <c r="AY11" s="27">
        <f t="shared" si="21"/>
        <v>1.9798273533950597E-2</v>
      </c>
      <c r="AZ11" s="27">
        <f t="shared" si="22"/>
        <v>4.5152102623456751E-3</v>
      </c>
      <c r="BA11" s="27">
        <f t="shared" si="23"/>
        <v>2.1710310570987643E-2</v>
      </c>
      <c r="BB11" s="27">
        <f t="shared" si="24"/>
        <v>4.8976176697530837E-3</v>
      </c>
      <c r="BC11" s="36">
        <f t="shared" si="25"/>
        <v>4.3550000000000004</v>
      </c>
      <c r="BD11" s="36">
        <f t="shared" si="26"/>
        <v>2.3265000000000002</v>
      </c>
      <c r="BE11" s="4">
        <f>1</f>
        <v>1</v>
      </c>
      <c r="BF11" s="27">
        <f t="shared" si="27"/>
        <v>4.3108844521604926E-2</v>
      </c>
      <c r="BG11" s="36">
        <f t="shared" si="28"/>
        <v>3.1041666666666669E-2</v>
      </c>
      <c r="BH11" s="36">
        <f t="shared" si="29"/>
        <v>2.0673750000000001E-2</v>
      </c>
      <c r="BI11" s="27">
        <f t="shared" si="30"/>
        <v>2.9362316743827152E-2</v>
      </c>
      <c r="BJ11" s="36">
        <f t="shared" si="31"/>
        <v>7.0473631666666666E-3</v>
      </c>
      <c r="BK11" s="27">
        <f t="shared" si="32"/>
        <v>2.319478202160493E-2</v>
      </c>
      <c r="BL11" s="36">
        <f t="shared" si="33"/>
        <v>5.5667779999999997E-3</v>
      </c>
      <c r="BM11" s="36">
        <f t="shared" si="34"/>
        <v>7.7458295578333338</v>
      </c>
    </row>
    <row r="12" spans="1:65">
      <c r="A12" s="4">
        <v>7</v>
      </c>
      <c r="B12" s="4">
        <v>4</v>
      </c>
      <c r="C12" s="40">
        <f>G11+$E$15</f>
        <v>4.8327546296296299E-2</v>
      </c>
      <c r="D12" s="28">
        <f t="shared" ref="D12:D13" si="44">F12-C12</f>
        <v>9.9922839506173117E-4</v>
      </c>
      <c r="E12" s="28"/>
      <c r="F12" s="40">
        <f>$D$15+C12</f>
        <v>4.932677469135803E-2</v>
      </c>
      <c r="G12" s="40">
        <f t="shared" ref="G12" si="45">F12+($I$15*B12)</f>
        <v>5.4794367283950624E-2</v>
      </c>
      <c r="H12" s="28">
        <f t="shared" si="6"/>
        <v>5.4675925925925933E-3</v>
      </c>
      <c r="I12" s="28">
        <f t="shared" si="7"/>
        <v>1.3668981481481483E-3</v>
      </c>
      <c r="J12" s="27">
        <f t="shared" si="36"/>
        <v>6.4668209876543245E-3</v>
      </c>
      <c r="K12" s="27"/>
      <c r="L12" s="39">
        <f>P11+$N$15</f>
        <v>6.3467303240740736E-2</v>
      </c>
      <c r="M12" s="29">
        <f t="shared" si="41"/>
        <v>6.7361111111111094E-4</v>
      </c>
      <c r="N12" s="29">
        <f t="shared" si="9"/>
        <v>6.238425925925925E-3</v>
      </c>
      <c r="O12" s="27">
        <f>$M$15+L12</f>
        <v>6.4140914351851847E-2</v>
      </c>
      <c r="P12" s="39">
        <f>O12+(B12*$R$15)</f>
        <v>6.5963831018518507E-2</v>
      </c>
      <c r="Q12" s="29">
        <f t="shared" si="10"/>
        <v>1.8229166666666602E-3</v>
      </c>
      <c r="R12" s="29">
        <f t="shared" si="0"/>
        <v>4.5572916666666505E-4</v>
      </c>
      <c r="S12" s="27">
        <f t="shared" si="1"/>
        <v>2.4965277777777711E-3</v>
      </c>
      <c r="T12" s="27">
        <f t="shared" si="2"/>
        <v>6.2413194444444278E-4</v>
      </c>
      <c r="U12" s="39">
        <f>P12+$W$15</f>
        <v>6.9250868055555539E-2</v>
      </c>
      <c r="V12" s="30">
        <f t="shared" si="11"/>
        <v>6.0185185185185341E-4</v>
      </c>
      <c r="W12" s="30">
        <f t="shared" si="37"/>
        <v>6.7277199074073923E-3</v>
      </c>
      <c r="X12" s="39">
        <f t="shared" si="42"/>
        <v>6.9852719907407393E-2</v>
      </c>
      <c r="Y12" s="39">
        <v>7.0844907407407412E-2</v>
      </c>
      <c r="Z12" s="30">
        <f>Y12-X12</f>
        <v>9.921875000000191E-4</v>
      </c>
      <c r="AA12" s="30">
        <f t="shared" si="3"/>
        <v>2.4804687500000477E-4</v>
      </c>
      <c r="AB12" s="27">
        <f>Y12-U12</f>
        <v>1.5940393518518725E-3</v>
      </c>
      <c r="AC12" s="27"/>
      <c r="AD12" s="39">
        <f t="shared" si="43"/>
        <v>7.2607060185185188E-2</v>
      </c>
      <c r="AE12" s="27"/>
      <c r="AF12" s="27">
        <f t="shared" si="39"/>
        <v>1.7621527777777757E-3</v>
      </c>
      <c r="AG12" s="39">
        <f t="shared" ref="AG12:AG13" si="46">AD12+$AE$15+$AF$15</f>
        <v>7.4444444444444452E-2</v>
      </c>
      <c r="AH12" s="39">
        <f t="shared" ref="AH12:AH13" si="47">AG12+AJ12</f>
        <v>7.5138888888888894E-2</v>
      </c>
      <c r="AI12" s="31" t="s">
        <v>53</v>
      </c>
      <c r="AJ12" s="32">
        <v>6.9444444444444447E-4</v>
      </c>
      <c r="AK12" s="27"/>
      <c r="AL12" s="39">
        <v>7.5347222222222218E-2</v>
      </c>
      <c r="AM12" s="39">
        <f>AL12+($AO$15*B12)</f>
        <v>7.7061149691358022E-2</v>
      </c>
      <c r="AN12" s="33">
        <f t="shared" si="15"/>
        <v>1.7139274691358036E-3</v>
      </c>
      <c r="AO12" s="27"/>
      <c r="AP12" s="27"/>
      <c r="AQ12" s="39">
        <f>AR11+AP15</f>
        <v>8.6839554398148139E-2</v>
      </c>
      <c r="AR12" s="39">
        <f>AQ12+($AT$15*B12)</f>
        <v>9.1993875385802462E-2</v>
      </c>
      <c r="AS12" s="34">
        <f t="shared" si="17"/>
        <v>5.1543209876543233E-3</v>
      </c>
      <c r="AT12" s="27"/>
      <c r="AU12" s="27">
        <f t="shared" si="4"/>
        <v>4.3666329089506163E-2</v>
      </c>
      <c r="AV12" s="27">
        <f t="shared" si="18"/>
        <v>1.5845389660493842E-2</v>
      </c>
      <c r="AW12" s="27">
        <f>AU12-AV12</f>
        <v>2.7820939429012322E-2</v>
      </c>
      <c r="AX12" s="35">
        <f t="shared" si="20"/>
        <v>3.7870788250496676E-3</v>
      </c>
      <c r="AY12" s="27">
        <f t="shared" si="21"/>
        <v>1.5845389660493845E-2</v>
      </c>
      <c r="AZ12" s="27">
        <f t="shared" si="22"/>
        <v>4.4821807484567945E-3</v>
      </c>
      <c r="BA12" s="27">
        <f t="shared" si="23"/>
        <v>1.8120081018518541E-2</v>
      </c>
      <c r="BB12" s="27">
        <f t="shared" si="24"/>
        <v>5.0508535879629684E-3</v>
      </c>
      <c r="BC12" s="36">
        <f t="shared" si="25"/>
        <v>4.3215000000000003</v>
      </c>
      <c r="BD12" s="36">
        <f t="shared" si="26"/>
        <v>2.3980000000000001</v>
      </c>
      <c r="BE12" s="4">
        <f>1</f>
        <v>1</v>
      </c>
      <c r="BF12" s="27">
        <f t="shared" si="27"/>
        <v>4.2667100694444432E-2</v>
      </c>
      <c r="BG12" s="36">
        <f t="shared" si="28"/>
        <v>3.0716666666666666E-2</v>
      </c>
      <c r="BH12" s="36">
        <f t="shared" si="29"/>
        <v>2.0457300000000001E-2</v>
      </c>
      <c r="BI12" s="27">
        <f t="shared" si="30"/>
        <v>2.7852961033950616E-2</v>
      </c>
      <c r="BJ12" s="36">
        <f t="shared" si="31"/>
        <v>6.6834670000000002E-3</v>
      </c>
      <c r="BK12" s="27">
        <f t="shared" si="32"/>
        <v>2.2141155478395069E-2</v>
      </c>
      <c r="BL12" s="36">
        <f t="shared" si="33"/>
        <v>5.3139951666666668E-3</v>
      </c>
      <c r="BM12" s="36">
        <f t="shared" si="34"/>
        <v>7.7826714288333338</v>
      </c>
    </row>
    <row r="13" spans="1:65">
      <c r="A13" s="4">
        <v>8</v>
      </c>
      <c r="B13" s="4">
        <v>4</v>
      </c>
      <c r="C13" s="40">
        <f>G12+$E$15</f>
        <v>5.5083719135802477E-2</v>
      </c>
      <c r="D13" s="28">
        <f t="shared" si="44"/>
        <v>9.9922839506173117E-4</v>
      </c>
      <c r="E13" s="28"/>
      <c r="F13" s="40">
        <f>$D$15+C13</f>
        <v>5.6082947530864208E-2</v>
      </c>
      <c r="G13" s="40">
        <f>F13+($I$15*B13)</f>
        <v>6.1550540123456801E-2</v>
      </c>
      <c r="H13" s="28">
        <f t="shared" si="6"/>
        <v>5.4675925925925933E-3</v>
      </c>
      <c r="I13" s="28">
        <f t="shared" si="7"/>
        <v>1.3668981481481483E-3</v>
      </c>
      <c r="J13" s="27">
        <f t="shared" si="36"/>
        <v>6.4668209876543245E-3</v>
      </c>
      <c r="K13" s="27"/>
      <c r="L13" s="39">
        <f>P12+$N$15</f>
        <v>7.2202256944444432E-2</v>
      </c>
      <c r="M13" s="29">
        <f t="shared" si="41"/>
        <v>6.7361111111111094E-4</v>
      </c>
      <c r="N13" s="29">
        <f t="shared" si="9"/>
        <v>6.238425925925925E-3</v>
      </c>
      <c r="O13" s="27">
        <f>$M$15+L13</f>
        <v>7.2875868055555543E-2</v>
      </c>
      <c r="P13" s="39">
        <f>O13+(B13*$R$15)</f>
        <v>7.4698784722222203E-2</v>
      </c>
      <c r="Q13" s="29">
        <f t="shared" si="10"/>
        <v>1.8229166666666602E-3</v>
      </c>
      <c r="R13" s="29">
        <f t="shared" si="0"/>
        <v>4.5572916666666505E-4</v>
      </c>
      <c r="S13" s="27">
        <f t="shared" si="1"/>
        <v>2.4965277777777711E-3</v>
      </c>
      <c r="T13" s="27">
        <f t="shared" si="2"/>
        <v>6.2413194444444278E-4</v>
      </c>
      <c r="U13" s="39">
        <f>P13+$W$15</f>
        <v>7.7985821759259236E-2</v>
      </c>
      <c r="V13" s="30">
        <f t="shared" si="11"/>
        <v>6.0185185185185341E-4</v>
      </c>
      <c r="W13" s="30">
        <f t="shared" si="37"/>
        <v>7.1409143518518237E-3</v>
      </c>
      <c r="X13" s="39">
        <f t="shared" si="42"/>
        <v>7.8587673611111089E-2</v>
      </c>
      <c r="Y13" s="39">
        <v>7.9178240740740743E-2</v>
      </c>
      <c r="Z13" s="30">
        <f>Y13-X13</f>
        <v>5.9056712962965441E-4</v>
      </c>
      <c r="AA13" s="30">
        <f t="shared" si="3"/>
        <v>1.476417824074136E-4</v>
      </c>
      <c r="AB13" s="27">
        <f>Y13-U13</f>
        <v>1.1924189814815078E-3</v>
      </c>
      <c r="AC13" s="27"/>
      <c r="AD13" s="39">
        <f t="shared" si="43"/>
        <v>8.0940393518518519E-2</v>
      </c>
      <c r="AE13" s="27">
        <f t="shared" ref="AE13" si="48">AG13-AD13</f>
        <v>1.8373842592592643E-3</v>
      </c>
      <c r="AF13" s="27">
        <f t="shared" si="39"/>
        <v>1.7621527777777757E-3</v>
      </c>
      <c r="AG13" s="39">
        <f t="shared" si="46"/>
        <v>8.2777777777777783E-2</v>
      </c>
      <c r="AH13" s="39">
        <f t="shared" si="47"/>
        <v>8.3472222222222225E-2</v>
      </c>
      <c r="AI13" s="41" t="s">
        <v>54</v>
      </c>
      <c r="AJ13" s="32">
        <v>6.9444444444444447E-4</v>
      </c>
      <c r="AK13" s="27"/>
      <c r="AL13" s="39">
        <f>AH13+AK15</f>
        <v>8.3582175925925928E-2</v>
      </c>
      <c r="AM13" s="39">
        <f>AL13+($AO$15*B13)</f>
        <v>8.5296103395061731E-2</v>
      </c>
      <c r="AN13" s="33">
        <f t="shared" si="15"/>
        <v>1.7139274691358036E-3</v>
      </c>
      <c r="AO13" s="27"/>
      <c r="AP13" s="27"/>
      <c r="AQ13" s="39">
        <f>AR12+AP15</f>
        <v>9.4520881558641967E-2</v>
      </c>
      <c r="AR13" s="39">
        <f>AQ13+($AT$15*B13)</f>
        <v>9.967520254629629E-2</v>
      </c>
      <c r="AS13" s="34">
        <f t="shared" si="17"/>
        <v>5.1543209876543233E-3</v>
      </c>
      <c r="AT13" s="27"/>
      <c r="AU13" s="27">
        <f t="shared" si="4"/>
        <v>4.4591483410493814E-2</v>
      </c>
      <c r="AV13" s="27">
        <f t="shared" si="18"/>
        <v>1.5443769290123479E-2</v>
      </c>
      <c r="AW13" s="27">
        <f>AU13-AV13</f>
        <v>2.9147714120370337E-2</v>
      </c>
      <c r="AX13" s="35">
        <f t="shared" si="20"/>
        <v>3.6866911608709968E-3</v>
      </c>
      <c r="AY13" s="27">
        <f t="shared" si="21"/>
        <v>1.544376929012348E-2</v>
      </c>
      <c r="AZ13" s="27">
        <f t="shared" si="22"/>
        <v>4.3817756558642033E-3</v>
      </c>
      <c r="BA13" s="27">
        <f t="shared" si="23"/>
        <v>1.7718460648148176E-2</v>
      </c>
      <c r="BB13" s="27">
        <f t="shared" si="24"/>
        <v>4.9504484953703772E-3</v>
      </c>
      <c r="BC13" s="36">
        <f t="shared" si="25"/>
        <v>4.2321666666666671</v>
      </c>
      <c r="BD13" s="36">
        <f t="shared" si="26"/>
        <v>2.3540000000000001</v>
      </c>
      <c r="BE13" s="4">
        <f>1</f>
        <v>1</v>
      </c>
      <c r="BF13" s="27">
        <f t="shared" si="27"/>
        <v>4.3592255015432083E-2</v>
      </c>
      <c r="BG13" s="36">
        <f t="shared" si="28"/>
        <v>3.1383333333333333E-2</v>
      </c>
      <c r="BH13" s="36">
        <f t="shared" si="29"/>
        <v>2.0901300000000001E-2</v>
      </c>
      <c r="BI13" s="27">
        <f t="shared" si="30"/>
        <v>2.6799334490740748E-2</v>
      </c>
      <c r="BJ13" s="36">
        <f t="shared" si="31"/>
        <v>6.4306841666666673E-3</v>
      </c>
      <c r="BK13" s="27">
        <f t="shared" si="32"/>
        <v>2.1087528935185201E-2</v>
      </c>
      <c r="BL13" s="36">
        <f t="shared" si="33"/>
        <v>5.0612123333333339E-3</v>
      </c>
      <c r="BM13" s="36">
        <f t="shared" si="34"/>
        <v>7.6499431965000007</v>
      </c>
    </row>
    <row r="14" spans="1:65">
      <c r="AI14" s="42"/>
    </row>
    <row r="15" spans="1:65" s="46" customFormat="1" ht="13.15">
      <c r="A15" s="43" t="s">
        <v>55</v>
      </c>
      <c r="B15" s="43"/>
      <c r="C15" s="43"/>
      <c r="D15" s="44">
        <f>AVERAGE(D6:D11)</f>
        <v>9.9922839506172878E-4</v>
      </c>
      <c r="E15" s="44">
        <f>AVERAGE(E6:E11)</f>
        <v>2.8935185185185227E-4</v>
      </c>
      <c r="F15" s="43"/>
      <c r="G15" s="43"/>
      <c r="H15" s="43"/>
      <c r="I15" s="44">
        <f>AVERAGE(I6:I10)</f>
        <v>1.3668981481481483E-3</v>
      </c>
      <c r="J15" s="44"/>
      <c r="K15" s="44">
        <f>AVERAGE(K6:K10)</f>
        <v>1.5943287037037033E-3</v>
      </c>
      <c r="L15" s="43"/>
      <c r="M15" s="44">
        <f>AVERAGE(M6:M10)</f>
        <v>6.7361111111111181E-4</v>
      </c>
      <c r="N15" s="44">
        <f>AVERAGE(N6:N10)</f>
        <v>6.2384259259259268E-3</v>
      </c>
      <c r="O15" s="43"/>
      <c r="P15" s="43"/>
      <c r="Q15" s="43"/>
      <c r="R15" s="44">
        <f>AVERAGE(R6:R9)</f>
        <v>4.5572916666666646E-4</v>
      </c>
      <c r="S15" s="43"/>
      <c r="T15" s="44">
        <f>AVERAGE(T6:T9)</f>
        <v>6.4308449074074062E-4</v>
      </c>
      <c r="U15" s="43"/>
      <c r="V15" s="44">
        <f>AVERAGE(V6:V9)</f>
        <v>6.0185185185185298E-4</v>
      </c>
      <c r="W15" s="44">
        <f>AVERAGE(W6:W9)</f>
        <v>3.2870370370370375E-3</v>
      </c>
      <c r="X15" s="43"/>
      <c r="Y15" s="43"/>
      <c r="Z15" s="43"/>
      <c r="AA15" s="44">
        <f>AVERAGE(AA6:AA9)</f>
        <v>5.7629243827160451E-4</v>
      </c>
      <c r="AB15" s="43"/>
      <c r="AC15" s="44">
        <f>AVERAGE(AC6:AC9)</f>
        <v>7.1469907407407409E-4</v>
      </c>
      <c r="AD15" s="44"/>
      <c r="AE15" s="44">
        <f>AVERAGE(AE7:AE9)</f>
        <v>7.5231481481481677E-5</v>
      </c>
      <c r="AF15" s="44">
        <f>AVERAGE(AF6:AF9)</f>
        <v>1.762152777777777E-3</v>
      </c>
      <c r="AG15" s="43"/>
      <c r="AH15" s="43"/>
      <c r="AI15" s="45"/>
      <c r="AJ15" s="43"/>
      <c r="AK15" s="44">
        <f>AVERAGE(AK6:AK8)</f>
        <v>1.0995370370370239E-4</v>
      </c>
      <c r="AL15" s="43"/>
      <c r="AM15" s="43"/>
      <c r="AN15" s="43"/>
      <c r="AO15" s="44">
        <f>AVERAGE(AO6:AO9)</f>
        <v>4.2848186728395085E-4</v>
      </c>
      <c r="AP15" s="44">
        <f>AVERAGE(AP6:AP8)</f>
        <v>2.5270061728395062E-3</v>
      </c>
      <c r="AQ15" s="43"/>
      <c r="AR15" s="43"/>
      <c r="AS15" s="43"/>
      <c r="AT15" s="44">
        <f>AVERAGE(AT6:AT8)</f>
        <v>1.28858024691358E-3</v>
      </c>
      <c r="AU15" s="43"/>
      <c r="AV15" s="43"/>
      <c r="AW15" s="43"/>
      <c r="AX15" s="43"/>
    </row>
    <row r="16" spans="1:65">
      <c r="AI16" s="42"/>
      <c r="BA16" t="s">
        <v>56</v>
      </c>
      <c r="BB16" t="s">
        <v>57</v>
      </c>
      <c r="BC16" t="s">
        <v>58</v>
      </c>
      <c r="BD16" t="s">
        <v>59</v>
      </c>
    </row>
    <row r="17" spans="2:56">
      <c r="AZ17" s="47">
        <v>5.5555555555555558E-3</v>
      </c>
      <c r="BA17">
        <f>HOUR(AZ17)</f>
        <v>0</v>
      </c>
      <c r="BB17">
        <f>MINUTE(AZ17)</f>
        <v>8</v>
      </c>
      <c r="BC17">
        <f>SECOND(AZ17)</f>
        <v>0</v>
      </c>
      <c r="BD17">
        <f>(BA17*60)+(BB17)+(BC17/60)</f>
        <v>8</v>
      </c>
    </row>
    <row r="21" spans="2:56">
      <c r="B21" s="51" t="s">
        <v>60</v>
      </c>
      <c r="C21" s="52"/>
      <c r="D21" s="52"/>
      <c r="E21" s="52"/>
      <c r="F21" s="52"/>
      <c r="G21" s="52"/>
      <c r="H21" s="52"/>
      <c r="J21" s="51" t="s">
        <v>61</v>
      </c>
      <c r="K21" s="52"/>
      <c r="L21" s="52"/>
      <c r="M21" s="52"/>
      <c r="N21" s="52"/>
      <c r="O21" s="52"/>
      <c r="P21" s="52"/>
      <c r="R21" s="51" t="s">
        <v>62</v>
      </c>
      <c r="S21" s="52"/>
      <c r="T21" s="52"/>
      <c r="U21" s="52"/>
      <c r="V21" s="52"/>
      <c r="W21" s="52"/>
      <c r="X21" s="52"/>
    </row>
    <row r="22" spans="2:56">
      <c r="B22" s="52"/>
      <c r="C22" s="52"/>
      <c r="D22" s="52"/>
      <c r="E22" s="52"/>
      <c r="F22" s="52"/>
      <c r="G22" s="52"/>
      <c r="H22" s="52"/>
      <c r="J22" s="52"/>
      <c r="K22" s="52"/>
      <c r="L22" s="52"/>
      <c r="M22" s="52"/>
      <c r="N22" s="52"/>
      <c r="O22" s="52"/>
      <c r="P22" s="52"/>
      <c r="R22" s="52"/>
      <c r="S22" s="52"/>
      <c r="T22" s="52"/>
      <c r="U22" s="52"/>
      <c r="V22" s="52"/>
      <c r="W22" s="52"/>
      <c r="X22" s="52"/>
    </row>
    <row r="24" spans="2:56">
      <c r="B24" s="65" t="s">
        <v>63</v>
      </c>
      <c r="C24" s="66"/>
      <c r="J24" s="63" t="s">
        <v>63</v>
      </c>
      <c r="K24" s="64"/>
      <c r="R24" s="63" t="s">
        <v>63</v>
      </c>
      <c r="S24" s="64"/>
    </row>
    <row r="25" spans="2:56" ht="53.45">
      <c r="B25" s="8" t="s">
        <v>64</v>
      </c>
      <c r="C25" s="48" t="s">
        <v>65</v>
      </c>
      <c r="J25" s="8" t="s">
        <v>5</v>
      </c>
      <c r="K25" s="24" t="s">
        <v>66</v>
      </c>
      <c r="R25" s="8" t="s">
        <v>67</v>
      </c>
      <c r="S25" s="24" t="s">
        <v>68</v>
      </c>
    </row>
    <row r="26" spans="2:56">
      <c r="B26" s="4">
        <v>1</v>
      </c>
      <c r="C26" s="35">
        <f t="shared" ref="C26:C33" si="49">AR6-C6</f>
        <v>3.0451388888888889E-2</v>
      </c>
      <c r="J26" s="4">
        <v>1</v>
      </c>
      <c r="K26" s="35">
        <f>C26-C45</f>
        <v>1.1678240740740746E-2</v>
      </c>
      <c r="R26" s="8" t="s">
        <v>69</v>
      </c>
      <c r="S26" s="4"/>
    </row>
    <row r="27" spans="2:56">
      <c r="B27" s="4">
        <v>2</v>
      </c>
      <c r="C27" s="35">
        <f t="shared" si="49"/>
        <v>3.5613425925925923E-2</v>
      </c>
      <c r="J27" s="4">
        <v>2</v>
      </c>
      <c r="K27" s="35">
        <f t="shared" ref="K27:K33" si="50">C27-C46</f>
        <v>1.1597222222222224E-2</v>
      </c>
      <c r="R27" s="8" t="s">
        <v>7</v>
      </c>
      <c r="S27" s="27">
        <f>K46-S46</f>
        <v>8.9544753086419904E-3</v>
      </c>
    </row>
    <row r="28" spans="2:56">
      <c r="B28" s="4">
        <v>3</v>
      </c>
      <c r="C28" s="35">
        <f t="shared" si="49"/>
        <v>2.733796296296296E-2</v>
      </c>
      <c r="J28" s="4">
        <v>3</v>
      </c>
      <c r="K28" s="35">
        <f t="shared" si="50"/>
        <v>1.2604166666666663E-2</v>
      </c>
      <c r="R28" s="8" t="s">
        <v>8</v>
      </c>
      <c r="S28" s="27">
        <f t="shared" ref="S28:S32" si="51">K47-S47</f>
        <v>5.3516782407407412E-2</v>
      </c>
    </row>
    <row r="29" spans="2:56">
      <c r="B29" s="4">
        <v>4</v>
      </c>
      <c r="C29" s="35">
        <f t="shared" si="49"/>
        <v>2.6624228395061726E-2</v>
      </c>
      <c r="J29" s="4">
        <v>4</v>
      </c>
      <c r="K29" s="35">
        <f t="shared" si="50"/>
        <v>1.5358796296296297E-2</v>
      </c>
      <c r="R29" s="8" t="s">
        <v>9</v>
      </c>
      <c r="S29" s="27">
        <f t="shared" si="51"/>
        <v>5.5081886574074049E-2</v>
      </c>
    </row>
    <row r="30" spans="2:56">
      <c r="B30" s="4">
        <v>5</v>
      </c>
      <c r="C30" s="35">
        <f t="shared" si="49"/>
        <v>4.1538869598765418E-2</v>
      </c>
      <c r="J30" s="4">
        <v>5</v>
      </c>
      <c r="K30" s="35">
        <f t="shared" si="50"/>
        <v>1.1444830246913576E-2</v>
      </c>
      <c r="R30" s="8" t="s">
        <v>70</v>
      </c>
      <c r="S30" s="27">
        <f t="shared" si="51"/>
        <v>5.6689814814814818E-2</v>
      </c>
    </row>
    <row r="31" spans="2:56">
      <c r="B31" s="4">
        <v>6</v>
      </c>
      <c r="C31" s="35">
        <f t="shared" si="49"/>
        <v>4.3745418595679007E-2</v>
      </c>
      <c r="J31" s="4">
        <v>6</v>
      </c>
      <c r="K31" s="35">
        <f t="shared" si="50"/>
        <v>2.394714506172841E-2</v>
      </c>
      <c r="R31" s="8" t="s">
        <v>71</v>
      </c>
      <c r="S31" s="27">
        <f t="shared" si="51"/>
        <v>4.7455873842592589E-2</v>
      </c>
    </row>
    <row r="32" spans="2:56">
      <c r="B32" s="4">
        <v>7</v>
      </c>
      <c r="C32" s="35">
        <f t="shared" si="49"/>
        <v>4.3666329089506163E-2</v>
      </c>
      <c r="J32" s="4">
        <v>7</v>
      </c>
      <c r="K32" s="35">
        <f t="shared" si="50"/>
        <v>2.7820939429012322E-2</v>
      </c>
      <c r="R32" s="8" t="s">
        <v>12</v>
      </c>
      <c r="S32" s="27">
        <f t="shared" si="51"/>
        <v>2.8394338348765438E-2</v>
      </c>
    </row>
    <row r="33" spans="2:24">
      <c r="B33" s="4">
        <v>8</v>
      </c>
      <c r="C33" s="35">
        <f t="shared" si="49"/>
        <v>4.4591483410493814E-2</v>
      </c>
      <c r="J33" s="4">
        <v>8</v>
      </c>
      <c r="K33" s="35">
        <f t="shared" si="50"/>
        <v>2.9147714120370337E-2</v>
      </c>
    </row>
    <row r="34" spans="2:24">
      <c r="B34" s="8" t="s">
        <v>72</v>
      </c>
      <c r="C34" s="27">
        <f>AVERAGE(C26:C33)</f>
        <v>3.6696138358410485E-2</v>
      </c>
      <c r="J34" s="8" t="s">
        <v>72</v>
      </c>
      <c r="K34" s="35">
        <f>AVERAGE(K26:K33)</f>
        <v>1.7949881847993822E-2</v>
      </c>
      <c r="R34" s="8" t="s">
        <v>72</v>
      </c>
      <c r="S34" s="27">
        <f>AVERAGE(S27:S32)</f>
        <v>4.1682195216049378E-2</v>
      </c>
    </row>
    <row r="39" spans="2:24">
      <c r="B39" s="67" t="s">
        <v>73</v>
      </c>
      <c r="C39" s="68"/>
      <c r="D39" s="68"/>
      <c r="E39" s="68"/>
      <c r="F39" s="68"/>
      <c r="G39" s="68"/>
      <c r="H39" s="68"/>
      <c r="J39" s="69" t="s">
        <v>74</v>
      </c>
      <c r="K39" s="70"/>
      <c r="L39" s="70"/>
      <c r="M39" s="70"/>
      <c r="N39" s="70"/>
      <c r="O39" s="70"/>
      <c r="P39" s="70"/>
      <c r="R39" s="51" t="s">
        <v>75</v>
      </c>
      <c r="S39" s="52"/>
      <c r="T39" s="52"/>
      <c r="U39" s="52"/>
      <c r="V39" s="52"/>
      <c r="W39" s="52"/>
      <c r="X39" s="52"/>
    </row>
    <row r="40" spans="2:24">
      <c r="B40" s="68"/>
      <c r="C40" s="68"/>
      <c r="D40" s="68"/>
      <c r="E40" s="68"/>
      <c r="F40" s="68"/>
      <c r="G40" s="68"/>
      <c r="H40" s="68"/>
      <c r="J40" s="70"/>
      <c r="K40" s="70"/>
      <c r="L40" s="70"/>
      <c r="M40" s="70"/>
      <c r="N40" s="70"/>
      <c r="O40" s="70"/>
      <c r="P40" s="70"/>
      <c r="R40" s="52"/>
      <c r="S40" s="52"/>
      <c r="T40" s="52"/>
      <c r="U40" s="52"/>
      <c r="V40" s="52"/>
      <c r="W40" s="52"/>
      <c r="X40" s="52"/>
    </row>
    <row r="43" spans="2:24">
      <c r="B43" s="63" t="s">
        <v>63</v>
      </c>
      <c r="C43" s="64"/>
      <c r="J43" s="63" t="s">
        <v>63</v>
      </c>
      <c r="K43" s="64"/>
      <c r="R43" s="63" t="s">
        <v>63</v>
      </c>
      <c r="S43" s="64"/>
    </row>
    <row r="44" spans="2:24" ht="53.45">
      <c r="B44" s="8" t="s">
        <v>5</v>
      </c>
      <c r="C44" s="24" t="s">
        <v>76</v>
      </c>
      <c r="J44" s="24" t="s">
        <v>67</v>
      </c>
      <c r="K44" s="24" t="s">
        <v>77</v>
      </c>
      <c r="R44" s="8" t="s">
        <v>67</v>
      </c>
      <c r="S44" s="24" t="s">
        <v>78</v>
      </c>
    </row>
    <row r="45" spans="2:24">
      <c r="B45" s="4">
        <v>1</v>
      </c>
      <c r="C45" s="27">
        <f t="shared" ref="C45:C52" si="52">H6+Q6+Z6+AJ6+AN6+AS6</f>
        <v>1.8773148148148143E-2</v>
      </c>
      <c r="J45" s="8" t="s">
        <v>69</v>
      </c>
      <c r="K45" s="4"/>
      <c r="R45" s="8" t="s">
        <v>69</v>
      </c>
      <c r="S45" s="4"/>
    </row>
    <row r="46" spans="2:24">
      <c r="B46" s="4">
        <v>2</v>
      </c>
      <c r="C46" s="27">
        <f t="shared" si="52"/>
        <v>2.4016203703703699E-2</v>
      </c>
      <c r="J46" s="8" t="s">
        <v>7</v>
      </c>
      <c r="K46" s="27">
        <f>G13-F6</f>
        <v>6.0485725308641984E-2</v>
      </c>
      <c r="R46" s="8" t="s">
        <v>7</v>
      </c>
      <c r="S46" s="49">
        <f>SUM(H6:H13)</f>
        <v>5.1531249999999994E-2</v>
      </c>
    </row>
    <row r="47" spans="2:24">
      <c r="B47" s="4">
        <v>3</v>
      </c>
      <c r="C47" s="27">
        <f t="shared" si="52"/>
        <v>1.4733796296296297E-2</v>
      </c>
      <c r="J47" s="8" t="s">
        <v>8</v>
      </c>
      <c r="K47" s="27">
        <f>P13-O6</f>
        <v>6.9976562499999978E-2</v>
      </c>
      <c r="R47" s="8" t="s">
        <v>8</v>
      </c>
      <c r="S47" s="49">
        <f>SUM(Q6:Q13)</f>
        <v>1.6459780092592569E-2</v>
      </c>
    </row>
    <row r="48" spans="2:24">
      <c r="B48" s="4">
        <v>4</v>
      </c>
      <c r="C48" s="27">
        <f>H9+Q9+Z9+AJ9+AN9+AS9</f>
        <v>1.1265432098765429E-2</v>
      </c>
      <c r="J48" s="8" t="s">
        <v>9</v>
      </c>
      <c r="K48" s="27">
        <f>Y13-X6</f>
        <v>6.997685185185186E-2</v>
      </c>
      <c r="R48" s="8" t="s">
        <v>9</v>
      </c>
      <c r="S48" s="49">
        <f>SUM(Z6:Z13)</f>
        <v>1.4894965277777812E-2</v>
      </c>
    </row>
    <row r="49" spans="2:19">
      <c r="B49" s="4">
        <v>5</v>
      </c>
      <c r="C49" s="27">
        <f t="shared" si="52"/>
        <v>3.0094039351851842E-2</v>
      </c>
      <c r="J49" s="8" t="s">
        <v>70</v>
      </c>
      <c r="K49" s="27">
        <f>AH13-AG6</f>
        <v>6.2245370370370368E-2</v>
      </c>
      <c r="R49" s="8" t="s">
        <v>70</v>
      </c>
      <c r="S49" s="49">
        <f>SUM(AJ6:AJ13)</f>
        <v>5.5555555555555532E-3</v>
      </c>
    </row>
    <row r="50" spans="2:19" ht="27">
      <c r="B50" s="4">
        <v>6</v>
      </c>
      <c r="C50" s="27">
        <f t="shared" si="52"/>
        <v>1.9798273533950597E-2</v>
      </c>
      <c r="J50" s="24" t="s">
        <v>71</v>
      </c>
      <c r="K50" s="27">
        <f>AM13-AL6</f>
        <v>6.3247492283950615E-2</v>
      </c>
      <c r="R50" s="8" t="s">
        <v>71</v>
      </c>
      <c r="S50" s="49">
        <f>SUM(AN6:AN13)</f>
        <v>1.579161844135803E-2</v>
      </c>
    </row>
    <row r="51" spans="2:19">
      <c r="B51" s="4">
        <v>7</v>
      </c>
      <c r="C51" s="27">
        <f t="shared" si="52"/>
        <v>1.5845389660493842E-2</v>
      </c>
      <c r="J51" s="8" t="s">
        <v>12</v>
      </c>
      <c r="K51" s="27">
        <f>AR13-AQ6</f>
        <v>7.4131221064814803E-2</v>
      </c>
      <c r="R51" s="8" t="s">
        <v>12</v>
      </c>
      <c r="S51" s="49">
        <f>SUM(AS6:AS13)</f>
        <v>4.5736882716049365E-2</v>
      </c>
    </row>
    <row r="52" spans="2:19">
      <c r="B52" s="4">
        <v>8</v>
      </c>
      <c r="C52" s="27">
        <f t="shared" si="52"/>
        <v>1.5443769290123479E-2</v>
      </c>
    </row>
    <row r="53" spans="2:19">
      <c r="B53" s="8" t="s">
        <v>72</v>
      </c>
      <c r="C53" s="27">
        <f>AVERAGE(C45:C52)</f>
        <v>1.8746256510416667E-2</v>
      </c>
      <c r="J53" s="8" t="s">
        <v>72</v>
      </c>
      <c r="K53" s="27">
        <f>AVERAGE(K46:K51)</f>
        <v>6.6677203896604934E-2</v>
      </c>
      <c r="R53" s="8" t="s">
        <v>72</v>
      </c>
      <c r="S53" s="49">
        <f>AVERAGE(S46:S51)</f>
        <v>2.4995008680555552E-2</v>
      </c>
    </row>
  </sheetData>
  <mergeCells count="17">
    <mergeCell ref="AD4:AJ4"/>
    <mergeCell ref="AK4:AO4"/>
    <mergeCell ref="AP4:AT4"/>
    <mergeCell ref="B43:C43"/>
    <mergeCell ref="J43:K43"/>
    <mergeCell ref="R43:S43"/>
    <mergeCell ref="B24:C24"/>
    <mergeCell ref="J24:K24"/>
    <mergeCell ref="R24:S24"/>
    <mergeCell ref="B39:H40"/>
    <mergeCell ref="J39:P40"/>
    <mergeCell ref="R39:X40"/>
    <mergeCell ref="B21:H22"/>
    <mergeCell ref="J21:P22"/>
    <mergeCell ref="R21:X22"/>
    <mergeCell ref="C4:J4"/>
    <mergeCell ref="U4:A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6F1D-09B8-4CAF-9DBF-CCF639D8B731}">
  <dimension ref="A1"/>
  <sheetViews>
    <sheetView topLeftCell="A82"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akhil kumar sodasani</dc:creator>
  <cp:keywords/>
  <dc:description/>
  <cp:lastModifiedBy/>
  <cp:revision/>
  <dcterms:created xsi:type="dcterms:W3CDTF">2026-06-23T10:52:28Z</dcterms:created>
  <dcterms:modified xsi:type="dcterms:W3CDTF">2026-06-24T00:47:51Z</dcterms:modified>
  <cp:category/>
  <cp:contentStatus/>
</cp:coreProperties>
</file>